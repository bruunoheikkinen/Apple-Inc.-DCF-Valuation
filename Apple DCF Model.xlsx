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4.xml" ContentType="application/vnd.openxmlformats-officedocument.drawing+xml"/>
  <Override PartName="/xl/ctrlProps/ctrlProp5.xml" ContentType="application/vnd.ms-excel.controlproperties+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bruunoheikkinen/"/>
    </mc:Choice>
  </mc:AlternateContent>
  <xr:revisionPtr revIDLastSave="0" documentId="8_{BDF502BB-2A57-7E44-A2CF-DD0DD1EE0CB2}" xr6:coauthVersionLast="47" xr6:coauthVersionMax="47" xr10:uidLastSave="{00000000-0000-0000-0000-000000000000}"/>
  <bookViews>
    <workbookView xWindow="-20" yWindow="660" windowWidth="29400" windowHeight="17100" activeTab="3" xr2:uid="{7AD77149-BA3F-EC4B-AFBB-7EB038EDB65F}"/>
  </bookViews>
  <sheets>
    <sheet name="Outputs" sheetId="2" r:id="rId1"/>
    <sheet name="Inputs" sheetId="3" r:id="rId2"/>
    <sheet name="Model" sheetId="4" r:id="rId3"/>
    <sheet name="Supporting schedules &amp; calc" sheetId="5" r:id="rId4"/>
  </sheets>
  <definedNames>
    <definedName name="_xlnm.Print_Area" localSheetId="1">Inputs!$B$3:$O$83</definedName>
    <definedName name="_xlnm.Print_Area" localSheetId="2">Model!$B$2:$O$203</definedName>
    <definedName name="_xlnm.Print_Area" localSheetId="3">'Supporting schedules &amp; calc'!$B$6:$T$140</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61" i="2" l="1"/>
  <c r="O61" i="2"/>
  <c r="P60" i="2"/>
  <c r="O60" i="2"/>
  <c r="F87" i="4"/>
  <c r="D124" i="2"/>
  <c r="J191" i="5"/>
  <c r="I191" i="5"/>
  <c r="I192" i="5" s="1"/>
  <c r="H191" i="5"/>
  <c r="H192" i="5" s="1"/>
  <c r="J188" i="5"/>
  <c r="J189" i="5" s="1"/>
  <c r="I188" i="5"/>
  <c r="H188" i="5"/>
  <c r="J185" i="5"/>
  <c r="I185" i="5"/>
  <c r="I186" i="5" s="1"/>
  <c r="H185" i="5"/>
  <c r="I182" i="5"/>
  <c r="I189" i="5" s="1"/>
  <c r="H182" i="5"/>
  <c r="H186" i="5" s="1"/>
  <c r="I170" i="5"/>
  <c r="J165" i="5"/>
  <c r="J160" i="5" s="1"/>
  <c r="I165" i="5"/>
  <c r="J172" i="5" s="1"/>
  <c r="H165" i="5"/>
  <c r="I172" i="5" s="1"/>
  <c r="J164" i="5"/>
  <c r="I164" i="5"/>
  <c r="J171" i="5" s="1"/>
  <c r="H164" i="5"/>
  <c r="I171" i="5" s="1"/>
  <c r="J163" i="5"/>
  <c r="J158" i="5" s="1"/>
  <c r="I163" i="5"/>
  <c r="H163" i="5"/>
  <c r="I159" i="5"/>
  <c r="H159" i="5"/>
  <c r="J155" i="5"/>
  <c r="I155" i="5"/>
  <c r="I158" i="5" s="1"/>
  <c r="H155" i="5"/>
  <c r="H158" i="5" s="1"/>
  <c r="J154" i="5"/>
  <c r="J182" i="5" s="1"/>
  <c r="I154" i="5"/>
  <c r="H154" i="5"/>
  <c r="G85" i="2"/>
  <c r="L95" i="3"/>
  <c r="L94" i="3"/>
  <c r="L93" i="3"/>
  <c r="L92" i="3"/>
  <c r="L97" i="3" s="1"/>
  <c r="D170" i="4"/>
  <c r="F47" i="3"/>
  <c r="J177" i="4" s="1"/>
  <c r="J200" i="4" s="1"/>
  <c r="F49" i="3"/>
  <c r="D187" i="4" s="1"/>
  <c r="H106" i="2"/>
  <c r="I106" i="2" s="1"/>
  <c r="J106" i="2" s="1"/>
  <c r="F106" i="2"/>
  <c r="E106" i="2" s="1"/>
  <c r="D106" i="2" s="1"/>
  <c r="C111" i="2"/>
  <c r="C112" i="2" s="1"/>
  <c r="C113" i="2" s="1"/>
  <c r="C109" i="2"/>
  <c r="C108" i="2" s="1"/>
  <c r="C107" i="2" s="1"/>
  <c r="D164" i="4"/>
  <c r="D188" i="4"/>
  <c r="F51" i="3"/>
  <c r="F46" i="3"/>
  <c r="D163" i="4" s="1"/>
  <c r="C96" i="2"/>
  <c r="C97" i="2" s="1"/>
  <c r="C98" i="2" s="1"/>
  <c r="C94" i="2"/>
  <c r="C93" i="2" s="1"/>
  <c r="C92" i="2" s="1"/>
  <c r="H91" i="2"/>
  <c r="I91" i="2" s="1"/>
  <c r="J91" i="2" s="1"/>
  <c r="F91" i="2"/>
  <c r="E91" i="2" s="1"/>
  <c r="D91" i="2" s="1"/>
  <c r="B7" i="3"/>
  <c r="N10" i="3" s="1"/>
  <c r="O177" i="4"/>
  <c r="O200" i="4" s="1"/>
  <c r="D169" i="4"/>
  <c r="D193" i="4" s="1"/>
  <c r="F63" i="3"/>
  <c r="F66" i="3" s="1"/>
  <c r="F64" i="3"/>
  <c r="C145" i="4"/>
  <c r="O72" i="4"/>
  <c r="O10" i="4"/>
  <c r="O12" i="4"/>
  <c r="O11" i="4"/>
  <c r="N10" i="4"/>
  <c r="M10" i="4"/>
  <c r="L10" i="4"/>
  <c r="K10" i="4"/>
  <c r="J10" i="4"/>
  <c r="I10" i="4"/>
  <c r="H10" i="4"/>
  <c r="G10" i="4"/>
  <c r="G11" i="4"/>
  <c r="H11" i="4"/>
  <c r="I11" i="4"/>
  <c r="J11" i="4"/>
  <c r="K11" i="4"/>
  <c r="L11" i="4"/>
  <c r="M11" i="4"/>
  <c r="N11" i="4"/>
  <c r="F10" i="4"/>
  <c r="I124" i="4"/>
  <c r="I127" i="4" s="1"/>
  <c r="N72" i="4"/>
  <c r="M72" i="4"/>
  <c r="L72" i="4"/>
  <c r="K72" i="4"/>
  <c r="J72" i="4"/>
  <c r="I72" i="4"/>
  <c r="I173" i="5" l="1"/>
  <c r="J192" i="5"/>
  <c r="J186" i="5"/>
  <c r="H189" i="5"/>
  <c r="J159" i="5"/>
  <c r="H160" i="5"/>
  <c r="I160" i="5"/>
  <c r="J170" i="5"/>
  <c r="J173" i="5" s="1"/>
  <c r="O10" i="3"/>
  <c r="K10" i="3"/>
  <c r="L10" i="3"/>
  <c r="I10" i="3"/>
  <c r="J10" i="3"/>
  <c r="M10" i="3"/>
  <c r="F70" i="3"/>
  <c r="F76" i="3" s="1"/>
  <c r="F83" i="3" s="1"/>
  <c r="J124" i="4"/>
  <c r="K124" i="4" l="1"/>
  <c r="J127" i="4"/>
  <c r="L124" i="4" l="1"/>
  <c r="K127" i="4"/>
  <c r="M124" i="4" l="1"/>
  <c r="L127" i="4"/>
  <c r="N124" i="4" l="1"/>
  <c r="M127" i="4"/>
  <c r="N127" i="4" l="1"/>
  <c r="O124" i="4"/>
  <c r="O127" i="4" s="1"/>
  <c r="F11" i="4"/>
  <c r="F12" i="4"/>
  <c r="G12" i="4"/>
  <c r="H12" i="4"/>
  <c r="I12" i="4"/>
  <c r="J12" i="4"/>
  <c r="K12" i="4"/>
  <c r="L12" i="4"/>
  <c r="M12" i="4"/>
  <c r="N12" i="4"/>
  <c r="I15" i="4" l="1"/>
  <c r="K154" i="5" s="1"/>
  <c r="K164" i="5" l="1"/>
  <c r="K182" i="5"/>
  <c r="I20" i="4"/>
  <c r="I21" i="4"/>
  <c r="I17" i="4"/>
  <c r="J15" i="4"/>
  <c r="L154" i="5" s="1"/>
  <c r="T37" i="5"/>
  <c r="S37" i="5"/>
  <c r="R37" i="5"/>
  <c r="Q37" i="5"/>
  <c r="P37" i="5"/>
  <c r="O37" i="5"/>
  <c r="N37" i="5"/>
  <c r="M37" i="5"/>
  <c r="L37" i="5"/>
  <c r="K37" i="5"/>
  <c r="J37" i="5"/>
  <c r="I37" i="5"/>
  <c r="H37" i="5"/>
  <c r="G37" i="5"/>
  <c r="F37" i="5"/>
  <c r="N34" i="5"/>
  <c r="M34" i="5"/>
  <c r="L34" i="5"/>
  <c r="K34" i="5"/>
  <c r="J34" i="5"/>
  <c r="I34" i="5"/>
  <c r="H34" i="5"/>
  <c r="G34" i="5"/>
  <c r="F34" i="5"/>
  <c r="N31" i="5"/>
  <c r="M31" i="5"/>
  <c r="L31" i="5"/>
  <c r="K31" i="5"/>
  <c r="J31" i="5"/>
  <c r="I31" i="5"/>
  <c r="H31" i="5"/>
  <c r="G31" i="5"/>
  <c r="F31" i="5"/>
  <c r="E37" i="5"/>
  <c r="E34" i="5"/>
  <c r="E31" i="5"/>
  <c r="F28" i="5"/>
  <c r="G28" i="5"/>
  <c r="H28" i="5"/>
  <c r="I28" i="5"/>
  <c r="J28" i="5"/>
  <c r="K28" i="5"/>
  <c r="L28" i="5"/>
  <c r="M28" i="5"/>
  <c r="N28" i="5"/>
  <c r="E28" i="5"/>
  <c r="F25" i="5"/>
  <c r="G25" i="5"/>
  <c r="H25" i="5"/>
  <c r="I25" i="5"/>
  <c r="J25" i="5"/>
  <c r="K25" i="5"/>
  <c r="L25" i="5"/>
  <c r="M25" i="5"/>
  <c r="N25" i="5"/>
  <c r="E25" i="5"/>
  <c r="Q17" i="5"/>
  <c r="T15" i="5"/>
  <c r="R17" i="5"/>
  <c r="S17" i="5"/>
  <c r="P18" i="5"/>
  <c r="Q18" i="5"/>
  <c r="S15" i="5"/>
  <c r="O16" i="5"/>
  <c r="T17" i="5"/>
  <c r="Q15" i="5"/>
  <c r="R16" i="5"/>
  <c r="R18" i="5"/>
  <c r="P16" i="5"/>
  <c r="S16" i="5"/>
  <c r="O15" i="5"/>
  <c r="T18" i="5"/>
  <c r="Q16" i="5"/>
  <c r="R15" i="5"/>
  <c r="P17" i="5"/>
  <c r="O17" i="5"/>
  <c r="O18" i="5"/>
  <c r="P15" i="5"/>
  <c r="T16" i="5"/>
  <c r="S18" i="5"/>
  <c r="L164" i="5" l="1"/>
  <c r="J47" i="4" s="1"/>
  <c r="L182" i="5"/>
  <c r="K191" i="5"/>
  <c r="K188" i="5"/>
  <c r="K171" i="5"/>
  <c r="J17" i="4"/>
  <c r="J16" i="4" s="1"/>
  <c r="L155" i="5" s="1"/>
  <c r="I22" i="4"/>
  <c r="I24" i="4" s="1"/>
  <c r="K15" i="4"/>
  <c r="M154" i="5" s="1"/>
  <c r="J21" i="4"/>
  <c r="J20" i="4"/>
  <c r="I16" i="4"/>
  <c r="K155" i="5" s="1"/>
  <c r="O25" i="5"/>
  <c r="T31" i="5"/>
  <c r="R31" i="5"/>
  <c r="O34" i="5"/>
  <c r="R25" i="5"/>
  <c r="T28" i="5"/>
  <c r="P34" i="5"/>
  <c r="Q25" i="5"/>
  <c r="S28" i="5"/>
  <c r="O28" i="5"/>
  <c r="T25" i="5"/>
  <c r="O31" i="5"/>
  <c r="Q34" i="5"/>
  <c r="Q28" i="5"/>
  <c r="P25" i="5"/>
  <c r="T34" i="5"/>
  <c r="P28" i="5"/>
  <c r="S25" i="5"/>
  <c r="Q31" i="5"/>
  <c r="P31" i="5"/>
  <c r="S34" i="5"/>
  <c r="R34" i="5"/>
  <c r="R28" i="5"/>
  <c r="S31" i="5"/>
  <c r="O21" i="5"/>
  <c r="O103" i="5" s="1"/>
  <c r="R21" i="5"/>
  <c r="R103" i="5" s="1"/>
  <c r="Q21" i="5"/>
  <c r="Q103" i="5" s="1"/>
  <c r="T21" i="5"/>
  <c r="T103" i="5" s="1"/>
  <c r="P21" i="5"/>
  <c r="S21" i="5"/>
  <c r="L171" i="5" l="1"/>
  <c r="J106" i="4" s="1"/>
  <c r="K185" i="5"/>
  <c r="K186" i="5" s="1"/>
  <c r="L165" i="5"/>
  <c r="J48" i="4" s="1"/>
  <c r="L163" i="5"/>
  <c r="J64" i="4" s="1"/>
  <c r="J67" i="4" s="1"/>
  <c r="J74" i="4" s="1"/>
  <c r="K165" i="5"/>
  <c r="I48" i="4" s="1"/>
  <c r="K163" i="5"/>
  <c r="K170" i="5" s="1"/>
  <c r="L191" i="5"/>
  <c r="J102" i="4" s="1"/>
  <c r="J149" i="4" s="1"/>
  <c r="L188" i="5"/>
  <c r="M182" i="5"/>
  <c r="M164" i="5"/>
  <c r="M171" i="5" s="1"/>
  <c r="I28" i="4"/>
  <c r="I30" i="4" s="1"/>
  <c r="I32" i="4" s="1"/>
  <c r="I148" i="4"/>
  <c r="I106" i="4"/>
  <c r="I47" i="4"/>
  <c r="J22" i="4"/>
  <c r="J24" i="4" s="1"/>
  <c r="I102" i="4"/>
  <c r="I149" i="4" s="1"/>
  <c r="I116" i="4"/>
  <c r="L15" i="4"/>
  <c r="N154" i="5" s="1"/>
  <c r="K20" i="4"/>
  <c r="K21" i="4"/>
  <c r="K17" i="4"/>
  <c r="S40" i="5"/>
  <c r="S103" i="5"/>
  <c r="P40" i="5"/>
  <c r="P103" i="5"/>
  <c r="T40" i="5"/>
  <c r="Q40" i="5"/>
  <c r="R40" i="5"/>
  <c r="S11" i="5"/>
  <c r="P11" i="5"/>
  <c r="T11" i="5"/>
  <c r="Q11" i="5"/>
  <c r="R11" i="5"/>
  <c r="L185" i="5" l="1"/>
  <c r="L186" i="5" s="1"/>
  <c r="J116" i="4"/>
  <c r="J118" i="4" s="1"/>
  <c r="L172" i="5"/>
  <c r="K172" i="5"/>
  <c r="K173" i="5" s="1"/>
  <c r="L170" i="5"/>
  <c r="N182" i="5"/>
  <c r="N164" i="5"/>
  <c r="M191" i="5"/>
  <c r="K102" i="4" s="1"/>
  <c r="K149" i="4" s="1"/>
  <c r="M188" i="5"/>
  <c r="J28" i="4"/>
  <c r="J30" i="4" s="1"/>
  <c r="J32" i="4" s="1"/>
  <c r="J101" i="4" s="1"/>
  <c r="J148" i="4"/>
  <c r="I118" i="4"/>
  <c r="I150" i="4"/>
  <c r="I101" i="4"/>
  <c r="I80" i="4"/>
  <c r="K106" i="4"/>
  <c r="K47" i="4"/>
  <c r="I108" i="4"/>
  <c r="I64" i="4"/>
  <c r="I67" i="4" s="1"/>
  <c r="I74" i="4" s="1"/>
  <c r="I53" i="4"/>
  <c r="I55" i="4" s="1"/>
  <c r="K22" i="4"/>
  <c r="K24" i="4" s="1"/>
  <c r="K16" i="4"/>
  <c r="M155" i="5" s="1"/>
  <c r="M15" i="4"/>
  <c r="O154" i="5" s="1"/>
  <c r="L20" i="4"/>
  <c r="L21" i="4"/>
  <c r="L17" i="4"/>
  <c r="L16" i="4" s="1"/>
  <c r="N155" i="5" s="1"/>
  <c r="F55" i="4"/>
  <c r="F50" i="4"/>
  <c r="H127" i="4"/>
  <c r="G127" i="4"/>
  <c r="F127" i="4"/>
  <c r="G118" i="4"/>
  <c r="H118" i="4"/>
  <c r="F118" i="4"/>
  <c r="H110" i="4"/>
  <c r="G110" i="4"/>
  <c r="F110" i="4"/>
  <c r="J150" i="4" l="1"/>
  <c r="M185" i="5"/>
  <c r="M186" i="5" s="1"/>
  <c r="M165" i="5"/>
  <c r="M163" i="5"/>
  <c r="M170" i="5" s="1"/>
  <c r="L173" i="5"/>
  <c r="J151" i="4" s="1"/>
  <c r="J108" i="4"/>
  <c r="N188" i="5"/>
  <c r="N191" i="5"/>
  <c r="L102" i="4" s="1"/>
  <c r="L149" i="4" s="1"/>
  <c r="N163" i="5"/>
  <c r="L64" i="4" s="1"/>
  <c r="L67" i="4" s="1"/>
  <c r="L74" i="4" s="1"/>
  <c r="N165" i="5"/>
  <c r="K116" i="4"/>
  <c r="K150" i="4" s="1"/>
  <c r="O182" i="5"/>
  <c r="O164" i="5"/>
  <c r="M47" i="4" s="1"/>
  <c r="N171" i="5"/>
  <c r="L106" i="4" s="1"/>
  <c r="K28" i="4"/>
  <c r="K30" i="4" s="1"/>
  <c r="K32" i="4" s="1"/>
  <c r="K101" i="4" s="1"/>
  <c r="K148" i="4"/>
  <c r="J80" i="4"/>
  <c r="I82" i="4"/>
  <c r="I84" i="4" s="1"/>
  <c r="J107" i="4"/>
  <c r="L47" i="4"/>
  <c r="I151" i="4"/>
  <c r="I153" i="4" s="1"/>
  <c r="I107" i="4"/>
  <c r="I110" i="4" s="1"/>
  <c r="I134" i="4" s="1"/>
  <c r="J53" i="4"/>
  <c r="J55" i="4" s="1"/>
  <c r="L22" i="4"/>
  <c r="L24" i="4" s="1"/>
  <c r="N15" i="4"/>
  <c r="D121" i="2" s="1"/>
  <c r="M20" i="4"/>
  <c r="M17" i="4"/>
  <c r="M16" i="4" s="1"/>
  <c r="O155" i="5" s="1"/>
  <c r="M21" i="4"/>
  <c r="F57" i="4"/>
  <c r="G134" i="4"/>
  <c r="G135" i="4" s="1"/>
  <c r="F134" i="4"/>
  <c r="F135" i="4" s="1"/>
  <c r="H134" i="4"/>
  <c r="H135" i="4" s="1"/>
  <c r="I133" i="4" s="1"/>
  <c r="J153" i="4" l="1"/>
  <c r="J168" i="4" s="1"/>
  <c r="P154" i="5"/>
  <c r="P182" i="5" s="1"/>
  <c r="K118" i="4"/>
  <c r="N185" i="5"/>
  <c r="N186" i="5" s="1"/>
  <c r="J110" i="4"/>
  <c r="J134" i="4" s="1"/>
  <c r="O163" i="5"/>
  <c r="O170" i="5" s="1"/>
  <c r="O165" i="5"/>
  <c r="M48" i="4" s="1"/>
  <c r="O188" i="5"/>
  <c r="O191" i="5"/>
  <c r="M102" i="4" s="1"/>
  <c r="M149" i="4" s="1"/>
  <c r="L116" i="4"/>
  <c r="L118" i="4" s="1"/>
  <c r="N170" i="5"/>
  <c r="L108" i="4" s="1"/>
  <c r="O171" i="5"/>
  <c r="N172" i="5"/>
  <c r="L107" i="4" s="1"/>
  <c r="M172" i="5"/>
  <c r="M173" i="5" s="1"/>
  <c r="K48" i="4"/>
  <c r="L48" i="4"/>
  <c r="I154" i="4"/>
  <c r="I168" i="4"/>
  <c r="J154" i="4"/>
  <c r="L28" i="4"/>
  <c r="L30" i="4" s="1"/>
  <c r="L32" i="4" s="1"/>
  <c r="L101" i="4" s="1"/>
  <c r="L148" i="4"/>
  <c r="O15" i="4"/>
  <c r="Q154" i="5" s="1"/>
  <c r="K80" i="4"/>
  <c r="J82" i="4"/>
  <c r="J84" i="4" s="1"/>
  <c r="I135" i="4"/>
  <c r="J133" i="4" s="1"/>
  <c r="K108" i="4"/>
  <c r="K64" i="4"/>
  <c r="K67" i="4" s="1"/>
  <c r="K74" i="4" s="1"/>
  <c r="K53" i="4"/>
  <c r="K55" i="4" s="1"/>
  <c r="M22" i="4"/>
  <c r="M24" i="4" s="1"/>
  <c r="N17" i="4"/>
  <c r="N16" i="4" s="1"/>
  <c r="P155" i="5" s="1"/>
  <c r="N21" i="4"/>
  <c r="N20" i="4"/>
  <c r="F82" i="4"/>
  <c r="G82" i="4"/>
  <c r="H82" i="4"/>
  <c r="M21" i="5"/>
  <c r="N21" i="5"/>
  <c r="N103" i="5" s="1"/>
  <c r="E21" i="5"/>
  <c r="E103" i="5" s="1"/>
  <c r="F21" i="5"/>
  <c r="F103" i="5" s="1"/>
  <c r="G21" i="5"/>
  <c r="G103" i="5" s="1"/>
  <c r="H21" i="5"/>
  <c r="H103" i="5" s="1"/>
  <c r="I21" i="5"/>
  <c r="I103" i="5" s="1"/>
  <c r="J21" i="5"/>
  <c r="J103" i="5" s="1"/>
  <c r="K21" i="5"/>
  <c r="K103" i="5" s="1"/>
  <c r="L21" i="5"/>
  <c r="L103" i="5" s="1"/>
  <c r="D21" i="5"/>
  <c r="D103" i="5" s="1"/>
  <c r="P164" i="5" l="1"/>
  <c r="N47" i="4" s="1"/>
  <c r="L150" i="4"/>
  <c r="J135" i="4"/>
  <c r="J45" i="4" s="1"/>
  <c r="O172" i="5"/>
  <c r="O173" i="5" s="1"/>
  <c r="O185" i="5"/>
  <c r="O186" i="5" s="1"/>
  <c r="N173" i="5"/>
  <c r="L151" i="4" s="1"/>
  <c r="Q164" i="5"/>
  <c r="Q182" i="5"/>
  <c r="M116" i="4"/>
  <c r="M118" i="4" s="1"/>
  <c r="P163" i="5"/>
  <c r="P170" i="5" s="1"/>
  <c r="P165" i="5"/>
  <c r="P172" i="5" s="1"/>
  <c r="M106" i="4"/>
  <c r="P188" i="5"/>
  <c r="N116" i="4" s="1"/>
  <c r="P191" i="5"/>
  <c r="J170" i="4"/>
  <c r="J191" i="4"/>
  <c r="J193" i="4" s="1"/>
  <c r="I170" i="4"/>
  <c r="I191" i="4"/>
  <c r="I193" i="4" s="1"/>
  <c r="M28" i="4"/>
  <c r="M30" i="4" s="1"/>
  <c r="M32" i="4" s="1"/>
  <c r="M101" i="4" s="1"/>
  <c r="M148" i="4"/>
  <c r="O17" i="4"/>
  <c r="O16" i="4" s="1"/>
  <c r="Q155" i="5" s="1"/>
  <c r="O20" i="4"/>
  <c r="O21" i="4"/>
  <c r="L110" i="4"/>
  <c r="L134" i="4" s="1"/>
  <c r="N22" i="4"/>
  <c r="N24" i="4" s="1"/>
  <c r="L80" i="4"/>
  <c r="K82" i="4"/>
  <c r="K84" i="4" s="1"/>
  <c r="I45" i="4"/>
  <c r="K151" i="4"/>
  <c r="K153" i="4" s="1"/>
  <c r="K107" i="4"/>
  <c r="K110" i="4" s="1"/>
  <c r="K134" i="4" s="1"/>
  <c r="M108" i="4"/>
  <c r="M64" i="4"/>
  <c r="M67" i="4" s="1"/>
  <c r="M74" i="4" s="1"/>
  <c r="L53" i="4"/>
  <c r="L55" i="4" s="1"/>
  <c r="M103" i="5"/>
  <c r="M11" i="5"/>
  <c r="F11" i="5"/>
  <c r="F40" i="5"/>
  <c r="M40" i="5"/>
  <c r="G11" i="5"/>
  <c r="G40" i="5"/>
  <c r="E40" i="5"/>
  <c r="L11" i="5"/>
  <c r="L40" i="5"/>
  <c r="N40" i="5"/>
  <c r="O40" i="5"/>
  <c r="K11" i="5"/>
  <c r="K40" i="5"/>
  <c r="J11" i="5"/>
  <c r="J40" i="5"/>
  <c r="I11" i="5"/>
  <c r="I40" i="5"/>
  <c r="H40" i="5"/>
  <c r="E11" i="5"/>
  <c r="N11" i="5"/>
  <c r="O11" i="5"/>
  <c r="H11" i="5"/>
  <c r="F72" i="4"/>
  <c r="F67" i="4"/>
  <c r="H72" i="4"/>
  <c r="H67" i="4"/>
  <c r="H55" i="4"/>
  <c r="H50" i="4"/>
  <c r="G72" i="4"/>
  <c r="G67" i="4"/>
  <c r="G55" i="4"/>
  <c r="G50" i="4"/>
  <c r="G22" i="4"/>
  <c r="H22" i="4"/>
  <c r="F22" i="4"/>
  <c r="L153" i="4" l="1"/>
  <c r="L168" i="4" s="1"/>
  <c r="P171" i="5"/>
  <c r="N106" i="4" s="1"/>
  <c r="Q171" i="5"/>
  <c r="J50" i="4"/>
  <c r="J57" i="4" s="1"/>
  <c r="J87" i="4" s="1"/>
  <c r="G125" i="2"/>
  <c r="I50" i="4"/>
  <c r="I57" i="4" s="1"/>
  <c r="I87" i="4" s="1"/>
  <c r="F125" i="2"/>
  <c r="K133" i="4"/>
  <c r="K135" i="4" s="1"/>
  <c r="K45" i="4" s="1"/>
  <c r="M107" i="4"/>
  <c r="M110" i="4" s="1"/>
  <c r="M134" i="4" s="1"/>
  <c r="Q163" i="5"/>
  <c r="Q170" i="5" s="1"/>
  <c r="Q165" i="5"/>
  <c r="O48" i="4" s="1"/>
  <c r="Q188" i="5"/>
  <c r="Q191" i="5"/>
  <c r="M150" i="4"/>
  <c r="P185" i="5"/>
  <c r="N102" i="4"/>
  <c r="N149" i="4" s="1"/>
  <c r="K154" i="4"/>
  <c r="K168" i="4"/>
  <c r="N118" i="4"/>
  <c r="N150" i="4"/>
  <c r="N28" i="4"/>
  <c r="N30" i="4" s="1"/>
  <c r="N32" i="4" s="1"/>
  <c r="N101" i="4" s="1"/>
  <c r="N148" i="4"/>
  <c r="O22" i="4"/>
  <c r="O24" i="4" s="1"/>
  <c r="M80" i="4"/>
  <c r="L82" i="4"/>
  <c r="L84" i="4" s="1"/>
  <c r="M151" i="4"/>
  <c r="N108" i="4"/>
  <c r="N64" i="4"/>
  <c r="N67" i="4" s="1"/>
  <c r="N74" i="4" s="1"/>
  <c r="N107" i="4"/>
  <c r="N48" i="4"/>
  <c r="M53" i="4"/>
  <c r="M55" i="4" s="1"/>
  <c r="G74" i="4"/>
  <c r="G84" i="4" s="1"/>
  <c r="F74" i="4"/>
  <c r="F84" i="4" s="1"/>
  <c r="H74" i="4"/>
  <c r="H84" i="4" s="1"/>
  <c r="G57" i="4"/>
  <c r="H57" i="4"/>
  <c r="H17" i="4"/>
  <c r="H24" i="4" s="1"/>
  <c r="H28" i="4" s="1"/>
  <c r="H32" i="4" s="1"/>
  <c r="F17" i="4"/>
  <c r="F24" i="4" s="1"/>
  <c r="F28" i="4" s="1"/>
  <c r="F32" i="4" s="1"/>
  <c r="G17" i="4"/>
  <c r="G24" i="4" s="1"/>
  <c r="G28" i="4" s="1"/>
  <c r="G32" i="4" s="1"/>
  <c r="L154" i="4" l="1"/>
  <c r="G122" i="2"/>
  <c r="P173" i="5"/>
  <c r="N151" i="4" s="1"/>
  <c r="N153" i="4" s="1"/>
  <c r="D122" i="2" s="1"/>
  <c r="F122" i="2"/>
  <c r="K50" i="4"/>
  <c r="K57" i="4" s="1"/>
  <c r="K87" i="4" s="1"/>
  <c r="H125" i="2"/>
  <c r="Q172" i="5"/>
  <c r="Q173" i="5" s="1"/>
  <c r="M153" i="4"/>
  <c r="M154" i="4" s="1"/>
  <c r="P186" i="5"/>
  <c r="Q185" i="5"/>
  <c r="Q186" i="5" s="1"/>
  <c r="L170" i="4"/>
  <c r="L191" i="4"/>
  <c r="L193" i="4" s="1"/>
  <c r="K170" i="4"/>
  <c r="K191" i="4"/>
  <c r="K193" i="4" s="1"/>
  <c r="O28" i="4"/>
  <c r="O30" i="4" s="1"/>
  <c r="O32" i="4" s="1"/>
  <c r="O101" i="4" s="1"/>
  <c r="O148" i="4"/>
  <c r="O102" i="4"/>
  <c r="O149" i="4" s="1"/>
  <c r="O116" i="4"/>
  <c r="O47" i="4"/>
  <c r="O106" i="4"/>
  <c r="O64" i="4"/>
  <c r="O67" i="4" s="1"/>
  <c r="O74" i="4" s="1"/>
  <c r="G87" i="4"/>
  <c r="H87" i="4"/>
  <c r="N80" i="4"/>
  <c r="M82" i="4"/>
  <c r="M84" i="4" s="1"/>
  <c r="L133" i="4"/>
  <c r="L135" i="4" s="1"/>
  <c r="L45" i="4" s="1"/>
  <c r="N110" i="4"/>
  <c r="N134" i="4" s="1"/>
  <c r="H122" i="2" l="1"/>
  <c r="L50" i="4"/>
  <c r="L57" i="4" s="1"/>
  <c r="L87" i="4" s="1"/>
  <c r="I125" i="2"/>
  <c r="O107" i="4"/>
  <c r="M168" i="4"/>
  <c r="M170" i="4" s="1"/>
  <c r="D189" i="4"/>
  <c r="O192" i="4" s="1"/>
  <c r="N154" i="4"/>
  <c r="N168" i="4"/>
  <c r="O53" i="4"/>
  <c r="O55" i="4" s="1"/>
  <c r="O118" i="4"/>
  <c r="O150" i="4"/>
  <c r="O151" i="4"/>
  <c r="O108" i="4"/>
  <c r="N82" i="4"/>
  <c r="N84" i="4" s="1"/>
  <c r="O80" i="4"/>
  <c r="O82" i="4" s="1"/>
  <c r="O84" i="4" s="1"/>
  <c r="M133" i="4"/>
  <c r="M135" i="4" s="1"/>
  <c r="N133" i="4" s="1"/>
  <c r="N135" i="4" s="1"/>
  <c r="N53" i="4"/>
  <c r="N55" i="4" s="1"/>
  <c r="I122" i="2" l="1"/>
  <c r="O110" i="4"/>
  <c r="O134" i="4" s="1"/>
  <c r="M191" i="4"/>
  <c r="M193" i="4" s="1"/>
  <c r="N170" i="4"/>
  <c r="N191" i="4"/>
  <c r="N193" i="4" s="1"/>
  <c r="O153" i="4"/>
  <c r="N45" i="4"/>
  <c r="O133" i="4"/>
  <c r="M45" i="4"/>
  <c r="M50" i="4" l="1"/>
  <c r="M57" i="4" s="1"/>
  <c r="M87" i="4" s="1"/>
  <c r="J125" i="2"/>
  <c r="N50" i="4"/>
  <c r="N57" i="4" s="1"/>
  <c r="N87" i="4" s="1"/>
  <c r="K125" i="2"/>
  <c r="J122" i="2"/>
  <c r="O135" i="4"/>
  <c r="O45" i="4" s="1"/>
  <c r="O50" i="4" s="1"/>
  <c r="O57" i="4" s="1"/>
  <c r="O87" i="4" s="1"/>
  <c r="O154" i="4"/>
  <c r="O168" i="4"/>
  <c r="O191" i="4" s="1"/>
  <c r="O193" i="4" s="1"/>
  <c r="I196" i="4" s="1"/>
  <c r="D197" i="4" s="1"/>
  <c r="J51" i="2" s="1"/>
  <c r="K122" i="2" l="1"/>
  <c r="D199" i="4"/>
  <c r="O169" i="4"/>
  <c r="O170" i="4" l="1"/>
  <c r="I173" i="4" s="1"/>
  <c r="D176" i="4" s="1"/>
  <c r="D171" i="4"/>
  <c r="K43" i="2" s="1"/>
  <c r="D194" i="4"/>
  <c r="D177" i="4"/>
  <c r="D195" i="4"/>
  <c r="K54" i="2" l="1"/>
  <c r="L54" i="2" s="1"/>
  <c r="E53" i="2"/>
  <c r="F53" i="2" s="1"/>
  <c r="E52" i="2"/>
  <c r="F52" i="2" s="1"/>
  <c r="K53" i="2"/>
  <c r="L53" i="2" s="1"/>
  <c r="K52" i="2"/>
  <c r="L52" i="2" s="1"/>
  <c r="E54" i="2"/>
  <c r="F54" i="2" s="1"/>
  <c r="D173" i="4"/>
  <c r="D178" i="4"/>
  <c r="D200" i="4"/>
  <c r="D201" i="4" s="1"/>
  <c r="D51" i="2" l="1"/>
  <c r="D123" i="2"/>
  <c r="J176" i="4"/>
  <c r="J178" i="4" s="1"/>
  <c r="J199" i="4"/>
  <c r="J201" i="4" s="1"/>
  <c r="O71" i="2" s="1"/>
  <c r="O176" i="4" l="1"/>
  <c r="O178" i="4" s="1"/>
  <c r="O65" i="2"/>
  <c r="C91" i="2"/>
  <c r="C106" i="2"/>
  <c r="O199" i="4"/>
  <c r="O201" i="4" s="1"/>
</calcChain>
</file>

<file path=xl/sharedStrings.xml><?xml version="1.0" encoding="utf-8"?>
<sst xmlns="http://schemas.openxmlformats.org/spreadsheetml/2006/main" count="403" uniqueCount="229">
  <si>
    <t>Income Statement</t>
  </si>
  <si>
    <t>2026F</t>
  </si>
  <si>
    <t>2027F</t>
  </si>
  <si>
    <t>2028F</t>
  </si>
  <si>
    <t>2029F</t>
  </si>
  <si>
    <t>2030F</t>
  </si>
  <si>
    <t>2031F</t>
  </si>
  <si>
    <t>Gross profit</t>
  </si>
  <si>
    <t>Operating expenses:</t>
  </si>
  <si>
    <t>Selling, general and administrative</t>
  </si>
  <si>
    <t>Other income/(expense), net</t>
  </si>
  <si>
    <t>Income before provision for taxes</t>
  </si>
  <si>
    <t>Provision for income taxes</t>
  </si>
  <si>
    <t>Net income</t>
  </si>
  <si>
    <t>Balance Sheet</t>
  </si>
  <si>
    <t>Current assets</t>
  </si>
  <si>
    <t>Cash and cash equivalents</t>
  </si>
  <si>
    <t>Marketable securities</t>
  </si>
  <si>
    <t>Accounts receivable, net</t>
  </si>
  <si>
    <t>Inventories</t>
  </si>
  <si>
    <t>Other current assets</t>
  </si>
  <si>
    <t>Total current assets</t>
  </si>
  <si>
    <t>Non-current assets</t>
  </si>
  <si>
    <t>Property, plant and equipment, net</t>
  </si>
  <si>
    <t>Other non-current assets</t>
  </si>
  <si>
    <t>Total non-current assets</t>
  </si>
  <si>
    <t>Total assets</t>
  </si>
  <si>
    <t>Current liabilities</t>
  </si>
  <si>
    <t>Assets</t>
  </si>
  <si>
    <t>Liabilities</t>
  </si>
  <si>
    <t>Accounts payable</t>
  </si>
  <si>
    <t>Other current liabilities</t>
  </si>
  <si>
    <t>Total current liabilities</t>
  </si>
  <si>
    <t>Non-current liabilities</t>
  </si>
  <si>
    <t>Term debt</t>
  </si>
  <si>
    <t>Other non-current liabilities</t>
  </si>
  <si>
    <t>Total non-current liabilities</t>
  </si>
  <si>
    <t>Total liabilities</t>
  </si>
  <si>
    <t>Balance sheet unbalanced?</t>
  </si>
  <si>
    <t>Iphone</t>
  </si>
  <si>
    <t>Ipad</t>
  </si>
  <si>
    <t>Mac</t>
  </si>
  <si>
    <t>Services</t>
  </si>
  <si>
    <t>Other Products</t>
  </si>
  <si>
    <t>Total</t>
  </si>
  <si>
    <t>Shareholders equity</t>
  </si>
  <si>
    <t xml:space="preserve"> </t>
  </si>
  <si>
    <t>Accumulated other comprehensive loss</t>
  </si>
  <si>
    <t>Total shareholders equity</t>
  </si>
  <si>
    <t>Total liabilities and shareholders equity</t>
  </si>
  <si>
    <t>Cash flow statement</t>
  </si>
  <si>
    <t>Operating activities</t>
  </si>
  <si>
    <t>Depreciation and amortization</t>
  </si>
  <si>
    <t>Other</t>
  </si>
  <si>
    <t>Changes in operating assets and liabilities</t>
  </si>
  <si>
    <t>Account receivable</t>
  </si>
  <si>
    <t xml:space="preserve">Account payable </t>
  </si>
  <si>
    <t>Cash generated by operating activities</t>
  </si>
  <si>
    <t>Investing activities</t>
  </si>
  <si>
    <t>Property, plant and equipment</t>
  </si>
  <si>
    <t>Cash generated by investing activities</t>
  </si>
  <si>
    <t>Financing activities</t>
  </si>
  <si>
    <t xml:space="preserve">Repurchases of common stock </t>
  </si>
  <si>
    <t>Cash used in financing activities</t>
  </si>
  <si>
    <t>Cash balance</t>
  </si>
  <si>
    <t>Beginning</t>
  </si>
  <si>
    <t>Increase / Decrease</t>
  </si>
  <si>
    <t>Ending</t>
  </si>
  <si>
    <t>Growth %</t>
  </si>
  <si>
    <t>Total revenue</t>
  </si>
  <si>
    <t>Cost forecast</t>
  </si>
  <si>
    <t>Revenue</t>
  </si>
  <si>
    <t>Gross margin %</t>
  </si>
  <si>
    <t>Products</t>
  </si>
  <si>
    <t>Total gross margin %</t>
  </si>
  <si>
    <t>Operating Expenses</t>
  </si>
  <si>
    <t>Current portion of debt</t>
  </si>
  <si>
    <t>SG&amp;A</t>
  </si>
  <si>
    <t>R&amp;D</t>
  </si>
  <si>
    <t>Total % of revenue</t>
  </si>
  <si>
    <t>-</t>
  </si>
  <si>
    <t>Revenue growth %</t>
  </si>
  <si>
    <t>Drivers</t>
  </si>
  <si>
    <t>Bear case</t>
  </si>
  <si>
    <t>Bull case</t>
  </si>
  <si>
    <t>Revenue  Scenarios</t>
  </si>
  <si>
    <t>Base case</t>
  </si>
  <si>
    <t>COGS</t>
  </si>
  <si>
    <t>revenue</t>
  </si>
  <si>
    <t>Research &amp; Development % of revenue</t>
  </si>
  <si>
    <t>SG&amp;A % of revenue</t>
  </si>
  <si>
    <t>Assumptions</t>
  </si>
  <si>
    <t>R&amp;D %</t>
  </si>
  <si>
    <t>SG&amp;A %</t>
  </si>
  <si>
    <t>Accounts payable (days)</t>
  </si>
  <si>
    <t>Account receivable (days)</t>
  </si>
  <si>
    <t>Days in period</t>
  </si>
  <si>
    <t>Cash changes</t>
  </si>
  <si>
    <t>Cash from working capital</t>
  </si>
  <si>
    <t>Asset schedule</t>
  </si>
  <si>
    <t>Working capital schedule</t>
  </si>
  <si>
    <t>Capital expenditure % of revenue</t>
  </si>
  <si>
    <t>Capex</t>
  </si>
  <si>
    <t>PP&amp;E</t>
  </si>
  <si>
    <t>PP&amp;E % of revenue</t>
  </si>
  <si>
    <t>Depreciation &amp; amortization</t>
  </si>
  <si>
    <t>D&amp;A % of revenue</t>
  </si>
  <si>
    <t>Buybacks of common stock per year</t>
  </si>
  <si>
    <t>Retained earnings</t>
  </si>
  <si>
    <t>Days in year</t>
  </si>
  <si>
    <t>UFCF schedule</t>
  </si>
  <si>
    <t>term</t>
  </si>
  <si>
    <t>tax rate</t>
  </si>
  <si>
    <t>EBIT x (1 - tax rate)</t>
  </si>
  <si>
    <t>D&amp;A</t>
  </si>
  <si>
    <t>Cash changes from working capital</t>
  </si>
  <si>
    <t>UFCF</t>
  </si>
  <si>
    <t>UFCF % of revenue</t>
  </si>
  <si>
    <t xml:space="preserve">WACC </t>
  </si>
  <si>
    <t>Industry unlevered beta</t>
  </si>
  <si>
    <t xml:space="preserve">D/E </t>
  </si>
  <si>
    <t>Sources</t>
  </si>
  <si>
    <t>Damodaran</t>
  </si>
  <si>
    <t>macrotrends</t>
  </si>
  <si>
    <t>this model</t>
  </si>
  <si>
    <t>Debt</t>
  </si>
  <si>
    <t>Market cap</t>
  </si>
  <si>
    <t>Historical beta</t>
  </si>
  <si>
    <t>Yahoo finance</t>
  </si>
  <si>
    <t>Calculated beta</t>
  </si>
  <si>
    <t>beta switch:</t>
  </si>
  <si>
    <t>Weight of debt</t>
  </si>
  <si>
    <t>Cost of debt</t>
  </si>
  <si>
    <t>Cost of equity</t>
  </si>
  <si>
    <t>weight of equity</t>
  </si>
  <si>
    <t>alphaspread</t>
  </si>
  <si>
    <t>Risk-free rate</t>
  </si>
  <si>
    <t>Equity risk premium</t>
  </si>
  <si>
    <t>DCF schedule: Perpetuity method</t>
  </si>
  <si>
    <t>Terminal growth</t>
  </si>
  <si>
    <t>WACC</t>
  </si>
  <si>
    <t>Terminal growth rate</t>
  </si>
  <si>
    <t>Shares outstanding</t>
  </si>
  <si>
    <t>Discrete forecast</t>
  </si>
  <si>
    <t>Terminal value</t>
  </si>
  <si>
    <t>Total cash flow</t>
  </si>
  <si>
    <t>Discounted cash flow</t>
  </si>
  <si>
    <t>Enterprise value</t>
  </si>
  <si>
    <t>Net debt:</t>
  </si>
  <si>
    <t>Total debt</t>
  </si>
  <si>
    <t>Cash &amp; equivalents</t>
  </si>
  <si>
    <t>Net debt</t>
  </si>
  <si>
    <t>Equity value</t>
  </si>
  <si>
    <t>$/sh</t>
  </si>
  <si>
    <t>Equity value per share</t>
  </si>
  <si>
    <t xml:space="preserve">Premium </t>
  </si>
  <si>
    <t>EV / EBITDA multiple</t>
  </si>
  <si>
    <t>Valuation date</t>
  </si>
  <si>
    <t>DCF schedule: Multiple method</t>
  </si>
  <si>
    <t>Term EBITDA</t>
  </si>
  <si>
    <t>Discounted cash flow:</t>
  </si>
  <si>
    <t>Perpetuity method</t>
  </si>
  <si>
    <t>Current share price</t>
  </si>
  <si>
    <t>Multiple method</t>
  </si>
  <si>
    <t>Terminal multiple</t>
  </si>
  <si>
    <t>Valuation summary &amp; scenario analysis</t>
  </si>
  <si>
    <t>Equity per share</t>
  </si>
  <si>
    <t>Perpetuity</t>
  </si>
  <si>
    <t>Multiple</t>
  </si>
  <si>
    <t>Invisible</t>
  </si>
  <si>
    <t>Width</t>
  </si>
  <si>
    <t>Equity per share expressed in USD, all other figures in USD millions</t>
  </si>
  <si>
    <t>Key valuation assumptions</t>
  </si>
  <si>
    <t>DCF model</t>
  </si>
  <si>
    <t>3-statement model</t>
  </si>
  <si>
    <t>Inputs</t>
  </si>
  <si>
    <t>1.</t>
  </si>
  <si>
    <t>2.</t>
  </si>
  <si>
    <t>3.</t>
  </si>
  <si>
    <t>4.</t>
  </si>
  <si>
    <t>5.</t>
  </si>
  <si>
    <t>6.</t>
  </si>
  <si>
    <t xml:space="preserve">    Apple Inc.</t>
  </si>
  <si>
    <t xml:space="preserve">     Prepared by: Bruuno Heikkinen </t>
  </si>
  <si>
    <t>Divident yearly growth %</t>
  </si>
  <si>
    <t>Implied share price sensitivity analysis</t>
  </si>
  <si>
    <t>inventory (days)</t>
  </si>
  <si>
    <t>Common stock &amp; APIC</t>
  </si>
  <si>
    <t>All figures in USD millions unless stated</t>
  </si>
  <si>
    <t xml:space="preserve">Calculated beta = Industry unlevered beta x (1+ (D/E) x (1 - tax rate)) </t>
  </si>
  <si>
    <t>Research and development</t>
  </si>
  <si>
    <t>Payments for dividends</t>
  </si>
  <si>
    <t xml:space="preserve">Revenue forecasts </t>
  </si>
  <si>
    <t xml:space="preserve">     DCF Valuation &amp; 3-Statement Model ( Valuation date: 1/1/2026 )</t>
  </si>
  <si>
    <t>Exit Multiple - Comparable analysis</t>
  </si>
  <si>
    <t>Microsoft Corporation</t>
  </si>
  <si>
    <t>Samsung Electronics Co.</t>
  </si>
  <si>
    <t>Alphabet Inc.</t>
  </si>
  <si>
    <t>Sony Group Corporation</t>
  </si>
  <si>
    <t>Amazon.com</t>
  </si>
  <si>
    <t>EV / EBITDA</t>
  </si>
  <si>
    <t>Source: stockanalysis.com</t>
  </si>
  <si>
    <t>Multiples based on latest reported fiscal year.</t>
  </si>
  <si>
    <t>Average</t>
  </si>
  <si>
    <t>Median</t>
  </si>
  <si>
    <t xml:space="preserve">Minimum </t>
  </si>
  <si>
    <t>Maximum</t>
  </si>
  <si>
    <t>Multiple used in the model</t>
  </si>
  <si>
    <t xml:space="preserve">Terminal multiple </t>
  </si>
  <si>
    <t xml:space="preserve">Implied share price sensitivity analysis </t>
  </si>
  <si>
    <t>BUY</t>
  </si>
  <si>
    <t>SELL</t>
  </si>
  <si>
    <t>current share price</t>
  </si>
  <si>
    <t>Beta used in the model</t>
  </si>
  <si>
    <t>(Billions of dollars)</t>
  </si>
  <si>
    <t>Valuation assumptions</t>
  </si>
  <si>
    <t>Model inputs</t>
  </si>
  <si>
    <t>Supporting schedules &amp; calculations</t>
  </si>
  <si>
    <t>DCF quality metrics</t>
  </si>
  <si>
    <t>Model health checks</t>
  </si>
  <si>
    <t>Revenue CAGR</t>
  </si>
  <si>
    <t>Free cash flow CAGR</t>
  </si>
  <si>
    <t>Terminal value % of EV</t>
  </si>
  <si>
    <t>WACC - Terminal Growth</t>
  </si>
  <si>
    <t>Balance sheet balances?</t>
  </si>
  <si>
    <t>Cash flow reconciles?</t>
  </si>
  <si>
    <t>multiple</t>
  </si>
  <si>
    <t>perpetuity</t>
  </si>
  <si>
    <t>Implied Valuation Range – Football Field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</si>
</sst>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 %;\ \(0.00\ %\)"/>
    <numFmt numFmtId="166" formatCode="0.0\ %"/>
    <numFmt numFmtId="167" formatCode="#,##0.00;\(#,##0.00\)"/>
    <numFmt numFmtId="168" formatCode="#,##0.000;\(#,##0.000\)"/>
    <numFmt numFmtId="169" formatCode="[$$-409]#,##0.00"/>
    <numFmt numFmtId="170" formatCode="#,##0.00\x;\(#,##0.00\)"/>
    <numFmt numFmtId="171" formatCode="[$$-C09]#,##0.00"/>
    <numFmt numFmtId="172" formatCode="[=1]&quot;Yes&quot;;[=0]&quot;No&quot;"/>
  </numFmts>
  <fonts count="45" x14ac:knownFonts="1">
    <font>
      <sz val="12"/>
      <color theme="1"/>
      <name val="Aptos Narrow"/>
      <family val="2"/>
      <scheme val="minor"/>
    </font>
    <font>
      <sz val="16"/>
      <color theme="1"/>
      <name val="Aptos Narrow"/>
      <family val="2"/>
      <scheme val="minor"/>
    </font>
    <font>
      <b/>
      <sz val="12"/>
      <color theme="1"/>
      <name val="Aptos Narrow"/>
      <scheme val="minor"/>
    </font>
    <font>
      <b/>
      <sz val="16"/>
      <color theme="1"/>
      <name val="Aptos Narrow"/>
      <scheme val="minor"/>
    </font>
    <font>
      <sz val="12"/>
      <color rgb="FF0070C0"/>
      <name val="Aptos Narrow"/>
      <family val="2"/>
      <scheme val="minor"/>
    </font>
    <font>
      <b/>
      <sz val="14"/>
      <color theme="1"/>
      <name val="Aptos Narrow"/>
      <scheme val="minor"/>
    </font>
    <font>
      <b/>
      <sz val="18"/>
      <color theme="1"/>
      <name val="Aptos Narrow"/>
      <scheme val="minor"/>
    </font>
    <font>
      <sz val="12"/>
      <name val="Aptos Narrow"/>
      <family val="2"/>
      <scheme val="minor"/>
    </font>
    <font>
      <sz val="14"/>
      <color theme="1"/>
      <name val="Aptos Narrow"/>
      <family val="2"/>
      <scheme val="minor"/>
    </font>
    <font>
      <b/>
      <sz val="22"/>
      <color theme="1"/>
      <name val="Aptos Narrow"/>
      <scheme val="minor"/>
    </font>
    <font>
      <sz val="14"/>
      <color rgb="FF0070C0"/>
      <name val="Aptos Narrow"/>
      <family val="2"/>
      <scheme val="minor"/>
    </font>
    <font>
      <sz val="16"/>
      <color theme="1"/>
      <name val="Aptos Narrow"/>
      <scheme val="minor"/>
    </font>
    <font>
      <sz val="12"/>
      <color theme="1"/>
      <name val="Aptos Narrow"/>
      <scheme val="minor"/>
    </font>
    <font>
      <sz val="12"/>
      <color theme="1"/>
      <name val="Aptos Narrow"/>
      <family val="2"/>
      <scheme val="minor"/>
    </font>
    <font>
      <sz val="22"/>
      <color theme="1"/>
      <name val="Aptos Narrow"/>
      <family val="2"/>
      <scheme val="minor"/>
    </font>
    <font>
      <sz val="16"/>
      <color rgb="FF0070C0"/>
      <name val="Aptos Narrow"/>
      <family val="2"/>
      <scheme val="minor"/>
    </font>
    <font>
      <i/>
      <sz val="10"/>
      <color theme="1"/>
      <name val="Aptos Narrow"/>
      <scheme val="minor"/>
    </font>
    <font>
      <sz val="12"/>
      <color rgb="FF0070C0"/>
      <name val="Aptos Narrow"/>
      <scheme val="minor"/>
    </font>
    <font>
      <i/>
      <sz val="12"/>
      <color theme="1"/>
      <name val="Aptos Narrow"/>
      <scheme val="minor"/>
    </font>
    <font>
      <b/>
      <sz val="20"/>
      <color theme="1"/>
      <name val="Aptos Narrow"/>
      <scheme val="minor"/>
    </font>
    <font>
      <sz val="12"/>
      <color theme="0"/>
      <name val="Aptos Narrow"/>
      <family val="2"/>
      <scheme val="minor"/>
    </font>
    <font>
      <sz val="12"/>
      <name val="Aptos Narrow"/>
      <scheme val="minor"/>
    </font>
    <font>
      <sz val="14"/>
      <color theme="1"/>
      <name val="Aptos Narrow"/>
      <scheme val="minor"/>
    </font>
    <font>
      <sz val="12"/>
      <color theme="0"/>
      <name val="Aptos Narrow"/>
      <scheme val="minor"/>
    </font>
    <font>
      <i/>
      <sz val="16"/>
      <color theme="1"/>
      <name val="Aptos Narrow"/>
      <scheme val="minor"/>
    </font>
    <font>
      <sz val="14"/>
      <color theme="0"/>
      <name val="Aptos Narrow"/>
      <scheme val="minor"/>
    </font>
    <font>
      <b/>
      <sz val="14"/>
      <color rgb="FF0070C0"/>
      <name val="Aptos Narrow"/>
      <scheme val="minor"/>
    </font>
    <font>
      <b/>
      <sz val="18"/>
      <color theme="0"/>
      <name val="Aptos Narrow"/>
      <scheme val="minor"/>
    </font>
    <font>
      <b/>
      <sz val="22"/>
      <color theme="0"/>
      <name val="Aptos Narrow"/>
      <scheme val="minor"/>
    </font>
    <font>
      <sz val="14"/>
      <color rgb="FF0070C0"/>
      <name val="Aptos Narrow"/>
      <scheme val="minor"/>
    </font>
    <font>
      <sz val="14"/>
      <name val="Aptos Narrow"/>
      <scheme val="minor"/>
    </font>
    <font>
      <i/>
      <sz val="14"/>
      <color theme="1"/>
      <name val="Aptos Narrow"/>
      <scheme val="minor"/>
    </font>
    <font>
      <b/>
      <sz val="24"/>
      <color theme="0"/>
      <name val="Aptos Narrow"/>
      <scheme val="minor"/>
    </font>
    <font>
      <sz val="24"/>
      <color theme="0"/>
      <name val="Aptos Narrow"/>
      <family val="2"/>
      <scheme val="minor"/>
    </font>
    <font>
      <sz val="24"/>
      <color theme="0"/>
      <name val="Aptos Narrow"/>
      <scheme val="minor"/>
    </font>
    <font>
      <b/>
      <sz val="16"/>
      <color theme="0"/>
      <name val="Aptos Narrow"/>
      <scheme val="minor"/>
    </font>
    <font>
      <sz val="16"/>
      <color theme="0"/>
      <name val="Aptos Narrow"/>
      <family val="2"/>
      <scheme val="minor"/>
    </font>
    <font>
      <b/>
      <sz val="26"/>
      <color theme="0"/>
      <name val="Aptos Narrow"/>
      <scheme val="minor"/>
    </font>
    <font>
      <sz val="26"/>
      <color theme="0"/>
      <name val="Aptos Narrow"/>
      <scheme val="minor"/>
    </font>
    <font>
      <b/>
      <sz val="18"/>
      <color theme="9" tint="-0.499984740745262"/>
      <name val="Aptos Narrow"/>
      <scheme val="minor"/>
    </font>
    <font>
      <b/>
      <sz val="18"/>
      <name val="Aptos Narrow"/>
      <scheme val="minor"/>
    </font>
    <font>
      <i/>
      <sz val="11"/>
      <color theme="1"/>
      <name val="Aptos Narrow"/>
      <scheme val="minor"/>
    </font>
    <font>
      <sz val="26"/>
      <color theme="0"/>
      <name val="Aptos Narrow"/>
      <family val="2"/>
      <scheme val="minor"/>
    </font>
    <font>
      <sz val="16"/>
      <color rgb="FF0070C0"/>
      <name val="Aptos Narrow"/>
      <scheme val="minor"/>
    </font>
    <font>
      <b/>
      <sz val="12"/>
      <name val="Aptos Narrow"/>
      <scheme val="minor"/>
    </font>
  </fonts>
  <fills count="6">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86868A"/>
        <bgColor indexed="64"/>
      </patternFill>
    </fill>
  </fills>
  <borders count="33">
    <border>
      <left/>
      <right/>
      <top/>
      <bottom/>
      <diagonal/>
    </border>
    <border>
      <left/>
      <right/>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theme="0" tint="-0.14999847407452621"/>
      </bottom>
      <diagonal/>
    </border>
    <border>
      <left/>
      <right/>
      <top style="thin">
        <color theme="0" tint="-0.1499984740745262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double">
        <color theme="1"/>
      </bottom>
      <diagonal/>
    </border>
    <border>
      <left style="thin">
        <color indexed="64"/>
      </left>
      <right style="thin">
        <color indexed="64"/>
      </right>
      <top style="thin">
        <color indexed="64"/>
      </top>
      <bottom style="medium">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2">
    <xf numFmtId="0" fontId="0" fillId="0" borderId="0"/>
    <xf numFmtId="9" fontId="13" fillId="0" borderId="0" applyFont="0" applyFill="0" applyBorder="0" applyAlignment="0" applyProtection="0"/>
  </cellStyleXfs>
  <cellXfs count="308">
    <xf numFmtId="0" fontId="0" fillId="0" borderId="0" xfId="0"/>
    <xf numFmtId="164" fontId="0" fillId="0" borderId="0" xfId="0" applyNumberFormat="1"/>
    <xf numFmtId="164" fontId="0" fillId="0" borderId="2" xfId="0" applyNumberFormat="1" applyBorder="1"/>
    <xf numFmtId="164" fontId="2" fillId="0" borderId="0" xfId="0" applyNumberFormat="1" applyFont="1"/>
    <xf numFmtId="164" fontId="4" fillId="0" borderId="0" xfId="0" applyNumberFormat="1" applyFont="1"/>
    <xf numFmtId="164" fontId="0" fillId="0" borderId="3" xfId="0" applyNumberFormat="1" applyBorder="1"/>
    <xf numFmtId="164" fontId="1" fillId="2" borderId="0" xfId="0" applyNumberFormat="1" applyFont="1" applyFill="1"/>
    <xf numFmtId="164" fontId="3" fillId="0" borderId="0" xfId="0" applyNumberFormat="1" applyFont="1"/>
    <xf numFmtId="164" fontId="3" fillId="0" borderId="0" xfId="0" applyNumberFormat="1" applyFont="1" applyAlignment="1">
      <alignment horizontal="center"/>
    </xf>
    <xf numFmtId="164" fontId="5" fillId="0" borderId="0" xfId="0" applyNumberFormat="1" applyFont="1"/>
    <xf numFmtId="164" fontId="0" fillId="0" borderId="4" xfId="0" applyNumberFormat="1" applyBorder="1"/>
    <xf numFmtId="164" fontId="7" fillId="0" borderId="4" xfId="0" applyNumberFormat="1" applyFont="1" applyBorder="1"/>
    <xf numFmtId="10" fontId="0" fillId="0" borderId="0" xfId="0" applyNumberFormat="1"/>
    <xf numFmtId="164" fontId="8" fillId="0" borderId="0" xfId="0" applyNumberFormat="1" applyFont="1"/>
    <xf numFmtId="164" fontId="1" fillId="0" borderId="0" xfId="0" applyNumberFormat="1" applyFont="1"/>
    <xf numFmtId="0" fontId="0" fillId="0" borderId="1" xfId="0" applyBorder="1"/>
    <xf numFmtId="10" fontId="0" fillId="0" borderId="3" xfId="0" applyNumberFormat="1" applyBorder="1"/>
    <xf numFmtId="164" fontId="9" fillId="2" borderId="0" xfId="0" applyNumberFormat="1" applyFont="1" applyFill="1"/>
    <xf numFmtId="164" fontId="0" fillId="3" borderId="0" xfId="0" applyNumberFormat="1" applyFill="1"/>
    <xf numFmtId="10" fontId="4" fillId="0" borderId="0" xfId="0" applyNumberFormat="1" applyFont="1" applyAlignment="1">
      <alignment horizontal="center" vertical="center"/>
    </xf>
    <xf numFmtId="10" fontId="4" fillId="0" borderId="0" xfId="0" applyNumberFormat="1" applyFont="1"/>
    <xf numFmtId="10" fontId="4" fillId="0" borderId="3" xfId="0" applyNumberFormat="1" applyFont="1" applyBorder="1"/>
    <xf numFmtId="10" fontId="0" fillId="0" borderId="5" xfId="0" applyNumberFormat="1" applyBorder="1"/>
    <xf numFmtId="10" fontId="0" fillId="0" borderId="6" xfId="0" applyNumberFormat="1" applyBorder="1"/>
    <xf numFmtId="10" fontId="8" fillId="0" borderId="0" xfId="0" applyNumberFormat="1" applyFont="1"/>
    <xf numFmtId="10" fontId="8" fillId="0" borderId="2" xfId="0" applyNumberFormat="1" applyFont="1" applyBorder="1"/>
    <xf numFmtId="164" fontId="10" fillId="0" borderId="0" xfId="0" applyNumberFormat="1" applyFont="1"/>
    <xf numFmtId="164" fontId="8" fillId="0" borderId="2" xfId="0" applyNumberFormat="1" applyFont="1" applyBorder="1"/>
    <xf numFmtId="164" fontId="11" fillId="0" borderId="0" xfId="0" applyNumberFormat="1" applyFont="1"/>
    <xf numFmtId="0" fontId="1" fillId="0" borderId="1" xfId="0" applyFont="1" applyBorder="1" applyAlignment="1">
      <alignment horizontal="right"/>
    </xf>
    <xf numFmtId="164" fontId="0" fillId="0" borderId="0" xfId="0" applyNumberFormat="1" applyAlignment="1">
      <alignment vertical="center"/>
    </xf>
    <xf numFmtId="0" fontId="1" fillId="4" borderId="2" xfId="0" applyFont="1" applyFill="1" applyBorder="1" applyAlignment="1">
      <alignment horizontal="right"/>
    </xf>
    <xf numFmtId="0" fontId="0" fillId="4" borderId="2" xfId="0" applyFill="1" applyBorder="1"/>
    <xf numFmtId="164" fontId="0" fillId="4" borderId="2" xfId="0" applyNumberFormat="1" applyFill="1" applyBorder="1"/>
    <xf numFmtId="164" fontId="1" fillId="4" borderId="2" xfId="0" applyNumberFormat="1" applyFont="1" applyFill="1" applyBorder="1" applyAlignment="1">
      <alignment horizontal="right"/>
    </xf>
    <xf numFmtId="164" fontId="1" fillId="0" borderId="7" xfId="0" applyNumberFormat="1" applyFont="1" applyBorder="1"/>
    <xf numFmtId="165" fontId="1" fillId="0" borderId="0" xfId="0" applyNumberFormat="1" applyFont="1"/>
    <xf numFmtId="164" fontId="9" fillId="3" borderId="0" xfId="0" applyNumberFormat="1" applyFont="1" applyFill="1"/>
    <xf numFmtId="164" fontId="12" fillId="0" borderId="0" xfId="0" applyNumberFormat="1" applyFont="1"/>
    <xf numFmtId="164" fontId="7" fillId="0" borderId="0" xfId="0" applyNumberFormat="1" applyFont="1"/>
    <xf numFmtId="9" fontId="0" fillId="0" borderId="0" xfId="1" applyFont="1"/>
    <xf numFmtId="164" fontId="0" fillId="0" borderId="13"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2" xfId="0" applyNumberFormat="1" applyBorder="1"/>
    <xf numFmtId="164" fontId="0" fillId="0" borderId="10" xfId="0" applyNumberFormat="1" applyBorder="1"/>
    <xf numFmtId="164" fontId="0" fillId="0" borderId="11" xfId="0" applyNumberFormat="1" applyBorder="1"/>
    <xf numFmtId="164" fontId="0" fillId="0" borderId="14" xfId="0" applyNumberFormat="1" applyBorder="1"/>
    <xf numFmtId="164" fontId="0" fillId="0" borderId="5" xfId="0" applyNumberFormat="1" applyBorder="1"/>
    <xf numFmtId="164" fontId="0" fillId="0" borderId="6" xfId="0" applyNumberFormat="1" applyBorder="1"/>
    <xf numFmtId="164" fontId="14" fillId="0" borderId="0" xfId="0" applyNumberFormat="1" applyFont="1"/>
    <xf numFmtId="164" fontId="0" fillId="0" borderId="4" xfId="0" applyNumberFormat="1" applyBorder="1" applyAlignment="1">
      <alignment horizontal="center"/>
    </xf>
    <xf numFmtId="165" fontId="15" fillId="0" borderId="9" xfId="0" applyNumberFormat="1" applyFont="1" applyBorder="1"/>
    <xf numFmtId="165" fontId="15" fillId="0" borderId="11" xfId="0" applyNumberFormat="1" applyFont="1" applyBorder="1"/>
    <xf numFmtId="164" fontId="0" fillId="4" borderId="0" xfId="0" applyNumberFormat="1" applyFill="1"/>
    <xf numFmtId="166" fontId="0" fillId="0" borderId="0" xfId="1" applyNumberFormat="1" applyFont="1"/>
    <xf numFmtId="164" fontId="6" fillId="4" borderId="0" xfId="0" applyNumberFormat="1" applyFont="1" applyFill="1"/>
    <xf numFmtId="164" fontId="1" fillId="4" borderId="0" xfId="0" applyNumberFormat="1" applyFont="1" applyFill="1"/>
    <xf numFmtId="164" fontId="9" fillId="4" borderId="0" xfId="0" applyNumberFormat="1" applyFont="1" applyFill="1"/>
    <xf numFmtId="10" fontId="4" fillId="4" borderId="0" xfId="0" applyNumberFormat="1" applyFont="1" applyFill="1"/>
    <xf numFmtId="164" fontId="4" fillId="0" borderId="17" xfId="0" applyNumberFormat="1" applyFont="1" applyBorder="1"/>
    <xf numFmtId="164" fontId="4" fillId="0" borderId="16" xfId="0" applyNumberFormat="1" applyFont="1" applyBorder="1"/>
    <xf numFmtId="164" fontId="4" fillId="0" borderId="18" xfId="0" applyNumberFormat="1" applyFont="1" applyBorder="1"/>
    <xf numFmtId="164" fontId="5" fillId="0" borderId="5" xfId="0" applyNumberFormat="1" applyFont="1" applyBorder="1"/>
    <xf numFmtId="164" fontId="5" fillId="0" borderId="15" xfId="0" applyNumberFormat="1" applyFont="1" applyBorder="1"/>
    <xf numFmtId="10" fontId="0" fillId="0" borderId="16" xfId="0" applyNumberFormat="1" applyBorder="1"/>
    <xf numFmtId="10" fontId="0" fillId="0" borderId="15" xfId="0" applyNumberFormat="1" applyBorder="1"/>
    <xf numFmtId="164" fontId="0" fillId="0" borderId="15" xfId="0" applyNumberFormat="1" applyBorder="1"/>
    <xf numFmtId="164" fontId="0" fillId="0" borderId="18" xfId="0" applyNumberFormat="1" applyBorder="1"/>
    <xf numFmtId="164" fontId="0" fillId="0" borderId="17" xfId="0" applyNumberFormat="1" applyBorder="1"/>
    <xf numFmtId="10" fontId="0" fillId="0" borderId="0" xfId="1" applyNumberFormat="1" applyFont="1"/>
    <xf numFmtId="164" fontId="16" fillId="0" borderId="0" xfId="0" applyNumberFormat="1" applyFont="1"/>
    <xf numFmtId="167" fontId="0" fillId="0" borderId="10" xfId="0" applyNumberFormat="1" applyBorder="1"/>
    <xf numFmtId="10" fontId="0" fillId="0" borderId="14" xfId="0" applyNumberFormat="1" applyBorder="1"/>
    <xf numFmtId="164" fontId="2" fillId="0" borderId="12" xfId="0" applyNumberFormat="1" applyFont="1" applyBorder="1"/>
    <xf numFmtId="164" fontId="12" fillId="0" borderId="8" xfId="0" applyNumberFormat="1" applyFont="1" applyBorder="1"/>
    <xf numFmtId="164" fontId="12" fillId="0" borderId="10" xfId="0" applyNumberFormat="1" applyFont="1" applyBorder="1"/>
    <xf numFmtId="164" fontId="5" fillId="0" borderId="12" xfId="0" applyNumberFormat="1" applyFont="1" applyBorder="1"/>
    <xf numFmtId="164" fontId="0" fillId="0" borderId="13" xfId="0" applyNumberFormat="1" applyBorder="1" applyAlignment="1">
      <alignment horizontal="right"/>
    </xf>
    <xf numFmtId="164" fontId="2" fillId="0" borderId="5" xfId="0" applyNumberFormat="1" applyFont="1" applyBorder="1"/>
    <xf numFmtId="164" fontId="12" fillId="0" borderId="6" xfId="0" applyNumberFormat="1" applyFont="1" applyBorder="1"/>
    <xf numFmtId="164" fontId="5" fillId="0" borderId="8" xfId="0" applyNumberFormat="1" applyFont="1" applyBorder="1"/>
    <xf numFmtId="164" fontId="3" fillId="0" borderId="5" xfId="0" applyNumberFormat="1" applyFont="1" applyBorder="1"/>
    <xf numFmtId="10" fontId="4" fillId="4" borderId="18" xfId="1" applyNumberFormat="1" applyFont="1" applyFill="1" applyBorder="1"/>
    <xf numFmtId="10" fontId="4" fillId="4" borderId="16" xfId="1" applyNumberFormat="1" applyFont="1" applyFill="1" applyBorder="1"/>
    <xf numFmtId="10" fontId="0" fillId="4" borderId="18" xfId="0" applyNumberFormat="1" applyFill="1" applyBorder="1"/>
    <xf numFmtId="10" fontId="4" fillId="4" borderId="16" xfId="0" applyNumberFormat="1" applyFont="1" applyFill="1" applyBorder="1"/>
    <xf numFmtId="10" fontId="4" fillId="4" borderId="18" xfId="0" applyNumberFormat="1" applyFont="1" applyFill="1" applyBorder="1"/>
    <xf numFmtId="10" fontId="3" fillId="4" borderId="15" xfId="0" applyNumberFormat="1" applyFont="1" applyFill="1" applyBorder="1"/>
    <xf numFmtId="10" fontId="0" fillId="0" borderId="11" xfId="0" applyNumberFormat="1" applyBorder="1"/>
    <xf numFmtId="164" fontId="18" fillId="0" borderId="0" xfId="0" applyNumberFormat="1" applyFont="1"/>
    <xf numFmtId="164" fontId="8" fillId="0" borderId="3" xfId="0" applyNumberFormat="1" applyFont="1" applyBorder="1"/>
    <xf numFmtId="167" fontId="0" fillId="0" borderId="11" xfId="0" applyNumberFormat="1" applyBorder="1"/>
    <xf numFmtId="164" fontId="19" fillId="4" borderId="0" xfId="0" applyNumberFormat="1" applyFont="1" applyFill="1"/>
    <xf numFmtId="164" fontId="5" fillId="4" borderId="6" xfId="0" applyNumberFormat="1" applyFont="1" applyFill="1" applyBorder="1"/>
    <xf numFmtId="167" fontId="5" fillId="4" borderId="14" xfId="0" applyNumberFormat="1" applyFont="1" applyFill="1" applyBorder="1"/>
    <xf numFmtId="10" fontId="15" fillId="0" borderId="0" xfId="0" applyNumberFormat="1" applyFont="1"/>
    <xf numFmtId="165" fontId="15" fillId="0" borderId="0" xfId="0" applyNumberFormat="1" applyFont="1"/>
    <xf numFmtId="165" fontId="15" fillId="0" borderId="8" xfId="0" applyNumberFormat="1" applyFont="1" applyBorder="1"/>
    <xf numFmtId="165" fontId="15" fillId="0" borderId="7" xfId="0" applyNumberFormat="1" applyFont="1" applyBorder="1"/>
    <xf numFmtId="165" fontId="15" fillId="0" borderId="10" xfId="0" applyNumberFormat="1" applyFont="1" applyBorder="1"/>
    <xf numFmtId="165" fontId="15" fillId="0" borderId="12" xfId="0" applyNumberFormat="1" applyFont="1" applyBorder="1"/>
    <xf numFmtId="165" fontId="15" fillId="0" borderId="13" xfId="0" applyNumberFormat="1" applyFont="1" applyBorder="1"/>
    <xf numFmtId="165" fontId="15" fillId="0" borderId="14" xfId="0" applyNumberFormat="1" applyFont="1" applyBorder="1"/>
    <xf numFmtId="167" fontId="0" fillId="0" borderId="0" xfId="0" applyNumberFormat="1"/>
    <xf numFmtId="10" fontId="12" fillId="0" borderId="0" xfId="0" applyNumberFormat="1" applyFont="1"/>
    <xf numFmtId="167" fontId="20" fillId="0" borderId="0" xfId="0" applyNumberFormat="1" applyFont="1"/>
    <xf numFmtId="164" fontId="20" fillId="0" borderId="0" xfId="0" applyNumberFormat="1" applyFont="1"/>
    <xf numFmtId="164" fontId="0" fillId="0" borderId="19" xfId="0" applyNumberFormat="1" applyBorder="1"/>
    <xf numFmtId="164" fontId="3" fillId="0" borderId="19" xfId="0" applyNumberFormat="1" applyFont="1" applyBorder="1"/>
    <xf numFmtId="164" fontId="12" fillId="0" borderId="0" xfId="0" applyNumberFormat="1" applyFont="1" applyAlignment="1">
      <alignment horizontal="right"/>
    </xf>
    <xf numFmtId="164" fontId="23" fillId="0" borderId="0" xfId="0" applyNumberFormat="1" applyFont="1"/>
    <xf numFmtId="164" fontId="12" fillId="0" borderId="20" xfId="0" applyNumberFormat="1" applyFont="1" applyBorder="1"/>
    <xf numFmtId="164" fontId="12" fillId="0" borderId="19" xfId="0" applyNumberFormat="1" applyFont="1" applyBorder="1"/>
    <xf numFmtId="164" fontId="12" fillId="0" borderId="21" xfId="0" applyNumberFormat="1" applyFont="1" applyBorder="1"/>
    <xf numFmtId="164" fontId="12" fillId="0" borderId="24" xfId="0" applyNumberFormat="1" applyFont="1" applyBorder="1"/>
    <xf numFmtId="164" fontId="12" fillId="0" borderId="26" xfId="0" applyNumberFormat="1" applyFont="1" applyBorder="1"/>
    <xf numFmtId="164" fontId="2" fillId="0" borderId="24" xfId="0" applyNumberFormat="1" applyFont="1" applyBorder="1"/>
    <xf numFmtId="164" fontId="21" fillId="0" borderId="0" xfId="0" applyNumberFormat="1" applyFont="1"/>
    <xf numFmtId="164" fontId="0" fillId="0" borderId="21" xfId="0" applyNumberFormat="1" applyBorder="1"/>
    <xf numFmtId="164" fontId="0" fillId="0" borderId="22" xfId="0" applyNumberFormat="1" applyBorder="1"/>
    <xf numFmtId="10" fontId="4" fillId="0" borderId="23" xfId="0" applyNumberFormat="1" applyFont="1" applyBorder="1"/>
    <xf numFmtId="164" fontId="0" fillId="0" borderId="24" xfId="0" applyNumberFormat="1" applyBorder="1"/>
    <xf numFmtId="164" fontId="7" fillId="0" borderId="25" xfId="0" applyNumberFormat="1" applyFont="1" applyBorder="1"/>
    <xf numFmtId="164" fontId="0" fillId="0" borderId="26" xfId="0" applyNumberFormat="1" applyBorder="1"/>
    <xf numFmtId="164" fontId="0" fillId="0" borderId="27" xfId="0" applyNumberFormat="1" applyBorder="1"/>
    <xf numFmtId="164" fontId="4" fillId="0" borderId="28" xfId="0" applyNumberFormat="1" applyFont="1" applyBorder="1"/>
    <xf numFmtId="164" fontId="18" fillId="0" borderId="19" xfId="0" applyNumberFormat="1" applyFont="1" applyBorder="1" applyAlignment="1">
      <alignment horizontal="right"/>
    </xf>
    <xf numFmtId="167" fontId="12" fillId="0" borderId="19" xfId="0" applyNumberFormat="1" applyFont="1" applyBorder="1"/>
    <xf numFmtId="167" fontId="11" fillId="0" borderId="0" xfId="0" applyNumberFormat="1" applyFont="1"/>
    <xf numFmtId="164" fontId="24" fillId="0" borderId="0" xfId="0" applyNumberFormat="1" applyFont="1" applyAlignment="1">
      <alignment horizontal="right"/>
    </xf>
    <xf numFmtId="164" fontId="22" fillId="0" borderId="0" xfId="0" applyNumberFormat="1" applyFont="1"/>
    <xf numFmtId="164" fontId="25" fillId="0" borderId="0" xfId="0" applyNumberFormat="1" applyFont="1"/>
    <xf numFmtId="164" fontId="2" fillId="0" borderId="0" xfId="0" applyNumberFormat="1" applyFont="1" applyAlignment="1">
      <alignment horizontal="center" wrapText="1"/>
    </xf>
    <xf numFmtId="167" fontId="25" fillId="0" borderId="0" xfId="0" applyNumberFormat="1" applyFont="1"/>
    <xf numFmtId="10" fontId="22" fillId="0" borderId="0" xfId="0" applyNumberFormat="1" applyFont="1"/>
    <xf numFmtId="10" fontId="26" fillId="0" borderId="0" xfId="0" applyNumberFormat="1" applyFont="1"/>
    <xf numFmtId="167" fontId="22" fillId="0" borderId="8" xfId="0" applyNumberFormat="1" applyFont="1" applyBorder="1"/>
    <xf numFmtId="167" fontId="22" fillId="0" borderId="7" xfId="0" applyNumberFormat="1" applyFont="1" applyBorder="1"/>
    <xf numFmtId="167" fontId="22" fillId="0" borderId="10" xfId="0" applyNumberFormat="1" applyFont="1" applyBorder="1"/>
    <xf numFmtId="167" fontId="22" fillId="0" borderId="9" xfId="0" applyNumberFormat="1" applyFont="1" applyBorder="1"/>
    <xf numFmtId="167" fontId="22" fillId="0" borderId="0" xfId="0" applyNumberFormat="1" applyFont="1"/>
    <xf numFmtId="167" fontId="22" fillId="0" borderId="11" xfId="0" applyNumberFormat="1" applyFont="1" applyBorder="1"/>
    <xf numFmtId="164" fontId="5" fillId="0" borderId="0" xfId="0" applyNumberFormat="1" applyFont="1" applyAlignment="1">
      <alignment horizontal="right"/>
    </xf>
    <xf numFmtId="167" fontId="5" fillId="0" borderId="15" xfId="0" applyNumberFormat="1" applyFont="1" applyBorder="1"/>
    <xf numFmtId="167" fontId="22" fillId="0" borderId="12" xfId="0" applyNumberFormat="1" applyFont="1" applyBorder="1"/>
    <xf numFmtId="167" fontId="22" fillId="0" borderId="13" xfId="0" applyNumberFormat="1" applyFont="1" applyBorder="1"/>
    <xf numFmtId="167" fontId="22" fillId="0" borderId="14" xfId="0" applyNumberFormat="1" applyFont="1" applyBorder="1"/>
    <xf numFmtId="167" fontId="26" fillId="0" borderId="0" xfId="0" applyNumberFormat="1" applyFont="1"/>
    <xf numFmtId="164" fontId="0" fillId="5" borderId="0" xfId="0" applyNumberFormat="1" applyFill="1"/>
    <xf numFmtId="164" fontId="27" fillId="5" borderId="0" xfId="0" applyNumberFormat="1" applyFont="1" applyFill="1"/>
    <xf numFmtId="164" fontId="28" fillId="5" borderId="0" xfId="0" applyNumberFormat="1" applyFont="1" applyFill="1"/>
    <xf numFmtId="164" fontId="22" fillId="3" borderId="0" xfId="0" applyNumberFormat="1" applyFont="1" applyFill="1" applyAlignment="1">
      <alignment horizontal="center"/>
    </xf>
    <xf numFmtId="0" fontId="22" fillId="0" borderId="1" xfId="0" applyFont="1" applyBorder="1"/>
    <xf numFmtId="164" fontId="22" fillId="4" borderId="2" xfId="0" applyNumberFormat="1" applyFont="1" applyFill="1" applyBorder="1"/>
    <xf numFmtId="165" fontId="29" fillId="0" borderId="5" xfId="0" applyNumberFormat="1" applyFont="1" applyBorder="1"/>
    <xf numFmtId="165" fontId="29" fillId="0" borderId="3" xfId="0" applyNumberFormat="1" applyFont="1" applyBorder="1"/>
    <xf numFmtId="165" fontId="22" fillId="0" borderId="3" xfId="0" applyNumberFormat="1" applyFont="1" applyBorder="1"/>
    <xf numFmtId="10" fontId="30" fillId="0" borderId="15" xfId="0" applyNumberFormat="1" applyFont="1" applyBorder="1"/>
    <xf numFmtId="165" fontId="29" fillId="0" borderId="0" xfId="0" applyNumberFormat="1" applyFont="1"/>
    <xf numFmtId="165" fontId="22" fillId="0" borderId="0" xfId="0" applyNumberFormat="1" applyFont="1"/>
    <xf numFmtId="10" fontId="29" fillId="0" borderId="0" xfId="0" applyNumberFormat="1" applyFont="1"/>
    <xf numFmtId="165" fontId="29" fillId="0" borderId="8" xfId="0" applyNumberFormat="1" applyFont="1" applyBorder="1"/>
    <xf numFmtId="165" fontId="29" fillId="0" borderId="7" xfId="0" applyNumberFormat="1" applyFont="1" applyBorder="1"/>
    <xf numFmtId="165" fontId="29" fillId="0" borderId="10" xfId="0" applyNumberFormat="1" applyFont="1" applyBorder="1"/>
    <xf numFmtId="165" fontId="29" fillId="0" borderId="9" xfId="0" applyNumberFormat="1" applyFont="1" applyBorder="1"/>
    <xf numFmtId="165" fontId="29" fillId="0" borderId="11" xfId="0" applyNumberFormat="1" applyFont="1" applyBorder="1"/>
    <xf numFmtId="165" fontId="29" fillId="0" borderId="12" xfId="0" applyNumberFormat="1" applyFont="1" applyBorder="1"/>
    <xf numFmtId="165" fontId="29" fillId="0" borderId="13" xfId="0" applyNumberFormat="1" applyFont="1" applyBorder="1"/>
    <xf numFmtId="165" fontId="29" fillId="0" borderId="14" xfId="0" applyNumberFormat="1" applyFont="1" applyBorder="1"/>
    <xf numFmtId="10" fontId="29" fillId="0" borderId="5" xfId="0" applyNumberFormat="1" applyFont="1" applyBorder="1"/>
    <xf numFmtId="10" fontId="29" fillId="0" borderId="3" xfId="0" applyNumberFormat="1" applyFont="1" applyBorder="1"/>
    <xf numFmtId="10" fontId="29" fillId="0" borderId="6" xfId="0" applyNumberFormat="1" applyFont="1" applyBorder="1"/>
    <xf numFmtId="10" fontId="29" fillId="0" borderId="15" xfId="0" applyNumberFormat="1" applyFont="1" applyBorder="1"/>
    <xf numFmtId="164" fontId="29" fillId="0" borderId="5" xfId="0" applyNumberFormat="1" applyFont="1" applyBorder="1"/>
    <xf numFmtId="164" fontId="29" fillId="0" borderId="3" xfId="0" applyNumberFormat="1" applyFont="1" applyBorder="1"/>
    <xf numFmtId="164" fontId="29" fillId="0" borderId="6" xfId="0" applyNumberFormat="1" applyFont="1" applyBorder="1"/>
    <xf numFmtId="164" fontId="29" fillId="0" borderId="15" xfId="0" applyNumberFormat="1" applyFont="1" applyBorder="1"/>
    <xf numFmtId="164" fontId="29" fillId="0" borderId="0" xfId="0" applyNumberFormat="1" applyFont="1"/>
    <xf numFmtId="164" fontId="29" fillId="0" borderId="8" xfId="0" applyNumberFormat="1" applyFont="1" applyBorder="1"/>
    <xf numFmtId="164" fontId="29" fillId="0" borderId="7" xfId="0" applyNumberFormat="1" applyFont="1" applyBorder="1"/>
    <xf numFmtId="164" fontId="29" fillId="0" borderId="18" xfId="0" applyNumberFormat="1" applyFont="1" applyBorder="1"/>
    <xf numFmtId="164" fontId="29" fillId="0" borderId="9" xfId="0" applyNumberFormat="1" applyFont="1" applyBorder="1"/>
    <xf numFmtId="164" fontId="29" fillId="0" borderId="17" xfId="0" applyNumberFormat="1" applyFont="1" applyBorder="1"/>
    <xf numFmtId="164" fontId="29" fillId="0" borderId="12" xfId="0" applyNumberFormat="1" applyFont="1" applyBorder="1"/>
    <xf numFmtId="164" fontId="29" fillId="0" borderId="13" xfId="0" applyNumberFormat="1" applyFont="1" applyBorder="1"/>
    <xf numFmtId="164" fontId="29" fillId="0" borderId="16" xfId="0" applyNumberFormat="1" applyFont="1" applyBorder="1"/>
    <xf numFmtId="10" fontId="29" fillId="0" borderId="0" xfId="1" applyNumberFormat="1" applyFont="1"/>
    <xf numFmtId="0" fontId="22" fillId="0" borderId="0" xfId="0" applyFont="1"/>
    <xf numFmtId="164" fontId="30" fillId="0" borderId="0" xfId="0" applyNumberFormat="1" applyFont="1"/>
    <xf numFmtId="169" fontId="29" fillId="0" borderId="0" xfId="0" applyNumberFormat="1" applyFont="1"/>
    <xf numFmtId="164" fontId="31" fillId="0" borderId="0" xfId="0" applyNumberFormat="1" applyFont="1"/>
    <xf numFmtId="14" fontId="29" fillId="0" borderId="0" xfId="0" applyNumberFormat="1" applyFont="1"/>
    <xf numFmtId="164" fontId="22" fillId="0" borderId="8" xfId="0" applyNumberFormat="1" applyFont="1" applyBorder="1"/>
    <xf numFmtId="164" fontId="22" fillId="0" borderId="12" xfId="0" applyNumberFormat="1" applyFont="1" applyBorder="1"/>
    <xf numFmtId="164" fontId="22" fillId="0" borderId="9" xfId="0" applyNumberFormat="1" applyFont="1" applyBorder="1"/>
    <xf numFmtId="164" fontId="12" fillId="0" borderId="7" xfId="0" applyNumberFormat="1" applyFont="1" applyBorder="1"/>
    <xf numFmtId="10" fontId="12" fillId="0" borderId="10" xfId="0" applyNumberFormat="1" applyFont="1" applyBorder="1"/>
    <xf numFmtId="164" fontId="12" fillId="4" borderId="2" xfId="0" applyNumberFormat="1" applyFont="1" applyFill="1" applyBorder="1"/>
    <xf numFmtId="164" fontId="2" fillId="0" borderId="15" xfId="0" applyNumberFormat="1" applyFont="1" applyBorder="1"/>
    <xf numFmtId="164" fontId="12" fillId="0" borderId="12" xfId="0" applyNumberFormat="1" applyFont="1" applyBorder="1"/>
    <xf numFmtId="164" fontId="12" fillId="0" borderId="13" xfId="0" applyNumberFormat="1" applyFont="1" applyBorder="1"/>
    <xf numFmtId="10" fontId="12" fillId="0" borderId="14" xfId="0" applyNumberFormat="1" applyFont="1" applyBorder="1"/>
    <xf numFmtId="164" fontId="12" fillId="0" borderId="11" xfId="0" applyNumberFormat="1" applyFont="1" applyBorder="1"/>
    <xf numFmtId="164" fontId="12" fillId="0" borderId="2" xfId="0" applyNumberFormat="1" applyFont="1" applyBorder="1"/>
    <xf numFmtId="164" fontId="12" fillId="0" borderId="14" xfId="0" applyNumberFormat="1" applyFont="1" applyBorder="1"/>
    <xf numFmtId="164" fontId="12" fillId="0" borderId="3" xfId="0" applyNumberFormat="1" applyFont="1" applyBorder="1"/>
    <xf numFmtId="164" fontId="2" fillId="4" borderId="6" xfId="0" applyNumberFormat="1" applyFont="1" applyFill="1" applyBorder="1"/>
    <xf numFmtId="167" fontId="12" fillId="0" borderId="10" xfId="0" applyNumberFormat="1" applyFont="1" applyBorder="1"/>
    <xf numFmtId="167" fontId="12" fillId="0" borderId="11" xfId="0" applyNumberFormat="1" applyFont="1" applyBorder="1"/>
    <xf numFmtId="164" fontId="12" fillId="0" borderId="13" xfId="0" applyNumberFormat="1" applyFont="1" applyBorder="1" applyAlignment="1">
      <alignment horizontal="right"/>
    </xf>
    <xf numFmtId="167" fontId="2" fillId="4" borderId="14" xfId="0" applyNumberFormat="1" applyFont="1" applyFill="1" applyBorder="1"/>
    <xf numFmtId="10" fontId="12" fillId="0" borderId="20" xfId="0" applyNumberFormat="1" applyFont="1" applyBorder="1"/>
    <xf numFmtId="164" fontId="20" fillId="5" borderId="0" xfId="0" applyNumberFormat="1" applyFont="1" applyFill="1"/>
    <xf numFmtId="164" fontId="32" fillId="5" borderId="0" xfId="0" applyNumberFormat="1" applyFont="1" applyFill="1"/>
    <xf numFmtId="164" fontId="33" fillId="5" borderId="0" xfId="0" applyNumberFormat="1" applyFont="1" applyFill="1"/>
    <xf numFmtId="164" fontId="34" fillId="5" borderId="0" xfId="0" applyNumberFormat="1" applyFont="1" applyFill="1"/>
    <xf numFmtId="164" fontId="35" fillId="5" borderId="0" xfId="0" applyNumberFormat="1" applyFont="1" applyFill="1"/>
    <xf numFmtId="164" fontId="36" fillId="5" borderId="0" xfId="0" applyNumberFormat="1" applyFont="1" applyFill="1"/>
    <xf numFmtId="164" fontId="36" fillId="5" borderId="0" xfId="0" applyNumberFormat="1" applyFont="1" applyFill="1" applyAlignment="1">
      <alignment horizontal="center"/>
    </xf>
    <xf numFmtId="164" fontId="2" fillId="5" borderId="0" xfId="0" applyNumberFormat="1" applyFont="1" applyFill="1"/>
    <xf numFmtId="164" fontId="35" fillId="5" borderId="0" xfId="0" applyNumberFormat="1" applyFont="1" applyFill="1" applyAlignment="1">
      <alignment horizontal="center"/>
    </xf>
    <xf numFmtId="164" fontId="37" fillId="5" borderId="0" xfId="0" applyNumberFormat="1" applyFont="1" applyFill="1"/>
    <xf numFmtId="164" fontId="38" fillId="0" borderId="0" xfId="0" applyNumberFormat="1" applyFont="1"/>
    <xf numFmtId="10" fontId="17" fillId="0" borderId="25" xfId="0" applyNumberFormat="1" applyFont="1" applyBorder="1"/>
    <xf numFmtId="10" fontId="12" fillId="0" borderId="2" xfId="0" applyNumberFormat="1" applyFont="1" applyBorder="1"/>
    <xf numFmtId="0" fontId="12" fillId="0" borderId="1" xfId="0" applyFont="1" applyBorder="1"/>
    <xf numFmtId="164" fontId="21" fillId="0" borderId="3" xfId="0" applyNumberFormat="1" applyFont="1" applyBorder="1" applyAlignment="1">
      <alignment vertical="center"/>
    </xf>
    <xf numFmtId="164" fontId="21" fillId="0" borderId="15" xfId="0" applyNumberFormat="1" applyFont="1" applyBorder="1" applyAlignment="1">
      <alignment vertical="center"/>
    </xf>
    <xf numFmtId="164" fontId="0" fillId="0" borderId="29" xfId="0" applyNumberFormat="1" applyBorder="1" applyAlignment="1">
      <alignment horizontal="center"/>
    </xf>
    <xf numFmtId="164" fontId="0" fillId="0" borderId="29" xfId="0" applyNumberFormat="1" applyBorder="1"/>
    <xf numFmtId="164" fontId="0" fillId="0" borderId="30" xfId="0" applyNumberFormat="1" applyBorder="1"/>
    <xf numFmtId="164" fontId="25" fillId="5" borderId="0" xfId="0" applyNumberFormat="1" applyFont="1" applyFill="1" applyAlignment="1">
      <alignment horizontal="left"/>
    </xf>
    <xf numFmtId="170" fontId="15" fillId="0" borderId="0" xfId="0" applyNumberFormat="1" applyFont="1"/>
    <xf numFmtId="170" fontId="4" fillId="0" borderId="25" xfId="0" applyNumberFormat="1" applyFont="1" applyBorder="1"/>
    <xf numFmtId="164" fontId="39" fillId="0" borderId="0" xfId="0" applyNumberFormat="1" applyFont="1"/>
    <xf numFmtId="171" fontId="3" fillId="0" borderId="0" xfId="0" applyNumberFormat="1" applyFont="1"/>
    <xf numFmtId="164" fontId="40" fillId="0" borderId="0" xfId="0" applyNumberFormat="1" applyFont="1"/>
    <xf numFmtId="164" fontId="6" fillId="0" borderId="0" xfId="0" applyNumberFormat="1" applyFont="1"/>
    <xf numFmtId="164" fontId="41" fillId="0" borderId="0" xfId="0" applyNumberFormat="1" applyFont="1"/>
    <xf numFmtId="0" fontId="12" fillId="0" borderId="0" xfId="0" applyFont="1"/>
    <xf numFmtId="170" fontId="30" fillId="0" borderId="0" xfId="0" applyNumberFormat="1" applyFont="1"/>
    <xf numFmtId="170" fontId="11" fillId="0" borderId="0" xfId="0" applyNumberFormat="1" applyFont="1"/>
    <xf numFmtId="167" fontId="29" fillId="0" borderId="0" xfId="0" applyNumberFormat="1" applyFont="1"/>
    <xf numFmtId="168" fontId="30" fillId="0" borderId="0" xfId="0" applyNumberFormat="1" applyFont="1"/>
    <xf numFmtId="164" fontId="8" fillId="0" borderId="8" xfId="0" applyNumberFormat="1" applyFont="1" applyBorder="1"/>
    <xf numFmtId="164" fontId="8" fillId="0" borderId="7" xfId="0" applyNumberFormat="1" applyFont="1" applyBorder="1"/>
    <xf numFmtId="167" fontId="8" fillId="0" borderId="10" xfId="0" applyNumberFormat="1" applyFont="1" applyBorder="1"/>
    <xf numFmtId="164" fontId="8" fillId="0" borderId="12" xfId="0" applyNumberFormat="1" applyFont="1" applyBorder="1"/>
    <xf numFmtId="164" fontId="8" fillId="0" borderId="13" xfId="0" applyNumberFormat="1" applyFont="1" applyBorder="1"/>
    <xf numFmtId="167" fontId="10" fillId="0" borderId="14" xfId="0" applyNumberFormat="1" applyFont="1" applyBorder="1"/>
    <xf numFmtId="167" fontId="5" fillId="4" borderId="15" xfId="0" applyNumberFormat="1" applyFont="1" applyFill="1" applyBorder="1"/>
    <xf numFmtId="164" fontId="11" fillId="0" borderId="3" xfId="0" applyNumberFormat="1" applyFont="1" applyBorder="1"/>
    <xf numFmtId="170" fontId="3" fillId="4" borderId="15" xfId="0" applyNumberFormat="1" applyFont="1" applyFill="1" applyBorder="1"/>
    <xf numFmtId="164" fontId="42" fillId="5" borderId="0" xfId="0" applyNumberFormat="1" applyFont="1" applyFill="1"/>
    <xf numFmtId="0" fontId="11" fillId="0" borderId="1" xfId="0" applyFont="1" applyBorder="1"/>
    <xf numFmtId="164" fontId="11" fillId="4" borderId="2" xfId="0" applyNumberFormat="1" applyFont="1" applyFill="1" applyBorder="1"/>
    <xf numFmtId="164" fontId="3" fillId="0" borderId="15" xfId="0" applyNumberFormat="1" applyFont="1" applyBorder="1"/>
    <xf numFmtId="164" fontId="43" fillId="0" borderId="8" xfId="0" applyNumberFormat="1" applyFont="1" applyBorder="1"/>
    <xf numFmtId="164" fontId="43" fillId="0" borderId="7" xfId="0" applyNumberFormat="1" applyFont="1" applyBorder="1"/>
    <xf numFmtId="164" fontId="43" fillId="0" borderId="10" xfId="0" applyNumberFormat="1" applyFont="1" applyBorder="1"/>
    <xf numFmtId="164" fontId="43" fillId="0" borderId="18" xfId="0" applyNumberFormat="1" applyFont="1" applyBorder="1"/>
    <xf numFmtId="164" fontId="11" fillId="0" borderId="9" xfId="0" applyNumberFormat="1" applyFont="1" applyBorder="1"/>
    <xf numFmtId="164" fontId="11" fillId="0" borderId="11" xfId="0" applyNumberFormat="1" applyFont="1" applyBorder="1"/>
    <xf numFmtId="164" fontId="11" fillId="0" borderId="17" xfId="0" applyNumberFormat="1" applyFont="1" applyBorder="1"/>
    <xf numFmtId="164" fontId="11" fillId="0" borderId="12" xfId="0" applyNumberFormat="1" applyFont="1" applyBorder="1"/>
    <xf numFmtId="164" fontId="11" fillId="0" borderId="13" xfId="0" applyNumberFormat="1" applyFont="1" applyBorder="1"/>
    <xf numFmtId="164" fontId="11" fillId="0" borderId="14" xfId="0" applyNumberFormat="1" applyFont="1" applyBorder="1"/>
    <xf numFmtId="164" fontId="11" fillId="0" borderId="16" xfId="0" applyNumberFormat="1" applyFont="1" applyBorder="1"/>
    <xf numFmtId="164" fontId="11" fillId="0" borderId="8" xfId="0" applyNumberFormat="1" applyFont="1" applyBorder="1"/>
    <xf numFmtId="164" fontId="11" fillId="0" borderId="7" xfId="0" applyNumberFormat="1" applyFont="1" applyBorder="1"/>
    <xf numFmtId="164" fontId="43" fillId="0" borderId="0" xfId="0" applyNumberFormat="1" applyFont="1"/>
    <xf numFmtId="164" fontId="43" fillId="0" borderId="11" xfId="0" applyNumberFormat="1" applyFont="1" applyBorder="1"/>
    <xf numFmtId="164" fontId="43" fillId="0" borderId="17" xfId="0" applyNumberFormat="1" applyFont="1" applyBorder="1"/>
    <xf numFmtId="164" fontId="43" fillId="0" borderId="13" xfId="0" applyNumberFormat="1" applyFont="1" applyBorder="1"/>
    <xf numFmtId="164" fontId="43" fillId="0" borderId="14" xfId="0" applyNumberFormat="1" applyFont="1" applyBorder="1"/>
    <xf numFmtId="164" fontId="43" fillId="0" borderId="16" xfId="0" applyNumberFormat="1" applyFont="1" applyBorder="1"/>
    <xf numFmtId="164" fontId="11" fillId="0" borderId="10" xfId="0" applyNumberFormat="1" applyFont="1" applyBorder="1"/>
    <xf numFmtId="164" fontId="11" fillId="0" borderId="18" xfId="0" applyNumberFormat="1" applyFont="1" applyBorder="1"/>
    <xf numFmtId="164" fontId="11" fillId="0" borderId="2" xfId="0" applyNumberFormat="1" applyFont="1" applyBorder="1"/>
    <xf numFmtId="164" fontId="11" fillId="0" borderId="30" xfId="0" applyNumberFormat="1" applyFont="1" applyBorder="1"/>
    <xf numFmtId="164" fontId="1" fillId="0" borderId="5" xfId="0" applyNumberFormat="1" applyFont="1" applyBorder="1"/>
    <xf numFmtId="164" fontId="1" fillId="0" borderId="3" xfId="0" applyNumberFormat="1" applyFont="1" applyBorder="1"/>
    <xf numFmtId="164" fontId="1" fillId="0" borderId="6" xfId="0" applyNumberFormat="1" applyFont="1" applyBorder="1"/>
    <xf numFmtId="164" fontId="1" fillId="0" borderId="15" xfId="0" applyNumberFormat="1" applyFont="1" applyBorder="1"/>
    <xf numFmtId="164" fontId="1" fillId="0" borderId="18" xfId="0" applyNumberFormat="1" applyFont="1" applyBorder="1"/>
    <xf numFmtId="10" fontId="1" fillId="0" borderId="0" xfId="0" applyNumberFormat="1" applyFont="1"/>
    <xf numFmtId="10" fontId="1" fillId="0" borderId="16" xfId="0" applyNumberFormat="1" applyFont="1" applyBorder="1"/>
    <xf numFmtId="10" fontId="15" fillId="0" borderId="16" xfId="0" applyNumberFormat="1" applyFont="1" applyBorder="1"/>
    <xf numFmtId="164" fontId="1" fillId="0" borderId="31" xfId="0" applyNumberFormat="1" applyFont="1" applyBorder="1"/>
    <xf numFmtId="10" fontId="15" fillId="0" borderId="32" xfId="0" applyNumberFormat="1" applyFont="1" applyBorder="1"/>
    <xf numFmtId="172" fontId="0" fillId="0" borderId="0" xfId="0" applyNumberFormat="1"/>
    <xf numFmtId="164" fontId="5" fillId="0" borderId="19" xfId="0" applyNumberFormat="1" applyFont="1" applyBorder="1"/>
    <xf numFmtId="10" fontId="0" fillId="0" borderId="18" xfId="1" applyNumberFormat="1" applyFont="1" applyBorder="1"/>
    <xf numFmtId="10" fontId="0" fillId="0" borderId="17" xfId="1" applyNumberFormat="1" applyFont="1" applyBorder="1"/>
    <xf numFmtId="9" fontId="0" fillId="0" borderId="17" xfId="1" applyFont="1" applyBorder="1"/>
    <xf numFmtId="10" fontId="0" fillId="0" borderId="16" xfId="1" applyNumberFormat="1" applyFont="1" applyBorder="1"/>
    <xf numFmtId="164" fontId="12" fillId="4" borderId="0" xfId="0" applyNumberFormat="1" applyFont="1" applyFill="1"/>
    <xf numFmtId="10" fontId="12" fillId="4" borderId="0" xfId="0" applyNumberFormat="1" applyFont="1" applyFill="1"/>
    <xf numFmtId="0" fontId="6" fillId="4" borderId="0" xfId="0" applyFont="1" applyFill="1"/>
    <xf numFmtId="164" fontId="21" fillId="0" borderId="22" xfId="0" applyNumberFormat="1" applyFont="1" applyBorder="1"/>
    <xf numFmtId="167" fontId="21" fillId="0" borderId="23" xfId="0" applyNumberFormat="1" applyFont="1" applyBorder="1"/>
    <xf numFmtId="164" fontId="44" fillId="0" borderId="0" xfId="0" applyNumberFormat="1" applyFont="1"/>
    <xf numFmtId="167" fontId="44" fillId="0" borderId="25" xfId="0" applyNumberFormat="1" applyFont="1" applyBorder="1"/>
    <xf numFmtId="164" fontId="21" fillId="0" borderId="27" xfId="0" applyNumberFormat="1" applyFont="1" applyBorder="1"/>
    <xf numFmtId="167" fontId="21" fillId="0" borderId="28" xfId="0" applyNumberFormat="1" applyFont="1" applyBorder="1"/>
    <xf numFmtId="164" fontId="3" fillId="0" borderId="19" xfId="0" applyNumberFormat="1" applyFont="1" applyBorder="1" applyAlignment="1">
      <alignment horizontal="left"/>
    </xf>
  </cellXfs>
  <cellStyles count="2">
    <cellStyle name="Normal" xfId="0" builtinId="0"/>
    <cellStyle name="Percent" xfId="1" builtinId="5"/>
  </cellStyles>
  <dxfs count="1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8686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Outputs!$O$59</c:f>
              <c:strCache>
                <c:ptCount val="1"/>
                <c:pt idx="0">
                  <c:v>Invisible</c:v>
                </c:pt>
              </c:strCache>
            </c:strRef>
          </c:tx>
          <c:spPr>
            <a:noFill/>
            <a:ln>
              <a:noFill/>
            </a:ln>
            <a:effectLst/>
          </c:spPr>
          <c:invertIfNegative val="0"/>
          <c:cat>
            <c:strRef>
              <c:f>Outputs!$N$60:$N$61</c:f>
              <c:strCache>
                <c:ptCount val="2"/>
                <c:pt idx="0">
                  <c:v>Perpetuity</c:v>
                </c:pt>
                <c:pt idx="1">
                  <c:v>Multiple</c:v>
                </c:pt>
              </c:strCache>
            </c:strRef>
          </c:cat>
          <c:val>
            <c:numRef>
              <c:f>Outputs!$O$60:$O$61</c:f>
              <c:numCache>
                <c:formatCode>#\ ##0.00;\(#\ ##0.00\)</c:formatCode>
                <c:ptCount val="2"/>
                <c:pt idx="0">
                  <c:v>130.16823227897208</c:v>
                </c:pt>
                <c:pt idx="1">
                  <c:v>156.48585428631083</c:v>
                </c:pt>
              </c:numCache>
            </c:numRef>
          </c:val>
          <c:extLst>
            <c:ext xmlns:c16="http://schemas.microsoft.com/office/drawing/2014/chart" uri="{C3380CC4-5D6E-409C-BE32-E72D297353CC}">
              <c16:uniqueId val="{00000000-C2EF-4D47-825D-32F1D238CE81}"/>
            </c:ext>
          </c:extLst>
        </c:ser>
        <c:ser>
          <c:idx val="1"/>
          <c:order val="1"/>
          <c:tx>
            <c:strRef>
              <c:f>Outputs!$P$59</c:f>
              <c:strCache>
                <c:ptCount val="1"/>
                <c:pt idx="0">
                  <c:v>Width</c:v>
                </c:pt>
              </c:strCache>
            </c:strRef>
          </c:tx>
          <c:spPr>
            <a:solidFill>
              <a:schemeClr val="tx2">
                <a:lumMod val="75000"/>
                <a:lumOff val="25000"/>
              </a:schemeClr>
            </a:solidFill>
            <a:ln>
              <a:noFill/>
            </a:ln>
            <a:effectLst/>
          </c:spPr>
          <c:invertIfNegative val="0"/>
          <c:cat>
            <c:strRef>
              <c:f>Outputs!$N$60:$N$61</c:f>
              <c:strCache>
                <c:ptCount val="2"/>
                <c:pt idx="0">
                  <c:v>Perpetuity</c:v>
                </c:pt>
                <c:pt idx="1">
                  <c:v>Multiple</c:v>
                </c:pt>
              </c:strCache>
            </c:strRef>
          </c:cat>
          <c:val>
            <c:numRef>
              <c:f>Outputs!$P$60:$P$61</c:f>
              <c:numCache>
                <c:formatCode>#\ ##0.00;\(#\ ##0.00\)</c:formatCode>
                <c:ptCount val="2"/>
                <c:pt idx="0">
                  <c:v>48.016003000289288</c:v>
                </c:pt>
                <c:pt idx="1">
                  <c:v>59.180761910382046</c:v>
                </c:pt>
              </c:numCache>
            </c:numRef>
          </c:val>
          <c:extLst>
            <c:ext xmlns:c16="http://schemas.microsoft.com/office/drawing/2014/chart" uri="{C3380CC4-5D6E-409C-BE32-E72D297353CC}">
              <c16:uniqueId val="{00000001-C2EF-4D47-825D-32F1D238CE81}"/>
            </c:ext>
          </c:extLst>
        </c:ser>
        <c:dLbls>
          <c:showLegendKey val="0"/>
          <c:showVal val="0"/>
          <c:showCatName val="0"/>
          <c:showSerName val="0"/>
          <c:showPercent val="0"/>
          <c:showBubbleSize val="0"/>
        </c:dLbls>
        <c:gapWidth val="89"/>
        <c:overlap val="100"/>
        <c:axId val="881940607"/>
        <c:axId val="881937471"/>
      </c:barChart>
      <c:catAx>
        <c:axId val="881940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FI"/>
          </a:p>
        </c:txPr>
        <c:crossAx val="881937471"/>
        <c:crosses val="autoZero"/>
        <c:auto val="1"/>
        <c:lblAlgn val="ctr"/>
        <c:lblOffset val="100"/>
        <c:noMultiLvlLbl val="0"/>
      </c:catAx>
      <c:valAx>
        <c:axId val="881937471"/>
        <c:scaling>
          <c:orientation val="minMax"/>
          <c:max val="300"/>
          <c:min val="100"/>
        </c:scaling>
        <c:delete val="0"/>
        <c:axPos val="b"/>
        <c:majorGridlines>
          <c:spPr>
            <a:ln w="9525" cap="flat" cmpd="sng" algn="ctr">
              <a:noFill/>
              <a:round/>
            </a:ln>
            <a:effectLst/>
          </c:spPr>
        </c:majorGridlines>
        <c:numFmt formatCode="\$\ ##0\ "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FI"/>
          </a:p>
        </c:txPr>
        <c:crossAx val="88194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FI"/>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845588285567434E-2"/>
          <c:y val="2.6025239825286251E-2"/>
          <c:w val="0.92116945070997258"/>
          <c:h val="0.76578849024919771"/>
        </c:manualLayout>
      </c:layout>
      <c:barChart>
        <c:barDir val="col"/>
        <c:grouping val="stacked"/>
        <c:varyColors val="0"/>
        <c:ser>
          <c:idx val="0"/>
          <c:order val="0"/>
          <c:tx>
            <c:strRef>
              <c:f>'Supporting schedules &amp; calc'!$B$15</c:f>
              <c:strCache>
                <c:ptCount val="1"/>
                <c:pt idx="0">
                  <c:v>Iphone</c:v>
                </c:pt>
              </c:strCache>
            </c:strRef>
          </c:tx>
          <c:spPr>
            <a:solidFill>
              <a:schemeClr val="bg2">
                <a:lumMod val="75000"/>
              </a:schemeClr>
            </a:solidFill>
            <a:ln>
              <a:noFill/>
            </a:ln>
            <a:effectLst>
              <a:softEdge rad="0"/>
            </a:effectLst>
            <a:scene3d>
              <a:camera prst="orthographicFront"/>
              <a:lightRig rig="threePt" dir="t"/>
            </a:scene3d>
            <a:sp3d>
              <a:bevelB w="25400"/>
            </a:sp3d>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calc'!$D$15:$T$15</c:f>
              <c:numCache>
                <c:formatCode>#\ ##0;\(#\ ##0\)</c:formatCode>
                <c:ptCount val="17"/>
                <c:pt idx="0">
                  <c:v>155041</c:v>
                </c:pt>
                <c:pt idx="1">
                  <c:v>136700</c:v>
                </c:pt>
                <c:pt idx="2">
                  <c:v>141319</c:v>
                </c:pt>
                <c:pt idx="3">
                  <c:v>164888</c:v>
                </c:pt>
                <c:pt idx="4">
                  <c:v>142381</c:v>
                </c:pt>
                <c:pt idx="5">
                  <c:v>137781</c:v>
                </c:pt>
                <c:pt idx="6">
                  <c:v>191973</c:v>
                </c:pt>
                <c:pt idx="7">
                  <c:v>205489</c:v>
                </c:pt>
                <c:pt idx="8">
                  <c:v>200583</c:v>
                </c:pt>
                <c:pt idx="9">
                  <c:v>201183</c:v>
                </c:pt>
                <c:pt idx="10">
                  <c:v>209586</c:v>
                </c:pt>
                <c:pt idx="11">
                  <c:v>217557.24693230915</c:v>
                </c:pt>
                <c:pt idx="12">
                  <c:v>225158.59290173108</c:v>
                </c:pt>
                <c:pt idx="13">
                  <c:v>232759.93887115302</c:v>
                </c:pt>
                <c:pt idx="14">
                  <c:v>240361.28484057495</c:v>
                </c:pt>
                <c:pt idx="15">
                  <c:v>247962.63080999689</c:v>
                </c:pt>
                <c:pt idx="16">
                  <c:v>255563.97677941882</c:v>
                </c:pt>
              </c:numCache>
            </c:numRef>
          </c:val>
          <c:extLst>
            <c:ext xmlns:c16="http://schemas.microsoft.com/office/drawing/2014/chart" uri="{C3380CC4-5D6E-409C-BE32-E72D297353CC}">
              <c16:uniqueId val="{00000000-69C1-D04C-B5E5-981D9D08CFD7}"/>
            </c:ext>
          </c:extLst>
        </c:ser>
        <c:ser>
          <c:idx val="1"/>
          <c:order val="1"/>
          <c:tx>
            <c:strRef>
              <c:f>'Supporting schedules &amp; calc'!$B$16</c:f>
              <c:strCache>
                <c:ptCount val="1"/>
                <c:pt idx="0">
                  <c:v>Ipad</c:v>
                </c:pt>
              </c:strCache>
            </c:strRef>
          </c:tx>
          <c:spPr>
            <a:solidFill>
              <a:schemeClr val="accent4">
                <a:lumMod val="60000"/>
                <a:lumOff val="40000"/>
              </a:schemeClr>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calc'!$D$16:$T$16</c:f>
              <c:numCache>
                <c:formatCode>#\ ##0;\(#\ ##0\)</c:formatCode>
                <c:ptCount val="17"/>
                <c:pt idx="0">
                  <c:v>23227</c:v>
                </c:pt>
                <c:pt idx="1">
                  <c:v>20628</c:v>
                </c:pt>
                <c:pt idx="2">
                  <c:v>19222</c:v>
                </c:pt>
                <c:pt idx="3">
                  <c:v>25198</c:v>
                </c:pt>
                <c:pt idx="4">
                  <c:v>25740</c:v>
                </c:pt>
                <c:pt idx="5">
                  <c:v>28622</c:v>
                </c:pt>
                <c:pt idx="6">
                  <c:v>35190</c:v>
                </c:pt>
                <c:pt idx="7">
                  <c:v>40177</c:v>
                </c:pt>
                <c:pt idx="8">
                  <c:v>29357</c:v>
                </c:pt>
                <c:pt idx="9">
                  <c:v>29984</c:v>
                </c:pt>
                <c:pt idx="10">
                  <c:v>33708</c:v>
                </c:pt>
                <c:pt idx="11">
                  <c:v>36594.57854722489</c:v>
                </c:pt>
                <c:pt idx="12">
                  <c:v>38035.744660269709</c:v>
                </c:pt>
                <c:pt idx="13">
                  <c:v>39476.910773314521</c:v>
                </c:pt>
                <c:pt idx="14">
                  <c:v>40918.076886359333</c:v>
                </c:pt>
                <c:pt idx="15">
                  <c:v>42359.242999404145</c:v>
                </c:pt>
                <c:pt idx="16">
                  <c:v>43800.409112448964</c:v>
                </c:pt>
              </c:numCache>
            </c:numRef>
          </c:val>
          <c:extLst>
            <c:ext xmlns:c16="http://schemas.microsoft.com/office/drawing/2014/chart" uri="{C3380CC4-5D6E-409C-BE32-E72D297353CC}">
              <c16:uniqueId val="{00000001-69C1-D04C-B5E5-981D9D08CFD7}"/>
            </c:ext>
          </c:extLst>
        </c:ser>
        <c:ser>
          <c:idx val="2"/>
          <c:order val="2"/>
          <c:tx>
            <c:strRef>
              <c:f>'Supporting schedules &amp; calc'!$B$17</c:f>
              <c:strCache>
                <c:ptCount val="1"/>
                <c:pt idx="0">
                  <c:v>Mac</c:v>
                </c:pt>
              </c:strCache>
            </c:strRef>
          </c:tx>
          <c:spPr>
            <a:solidFill>
              <a:schemeClr val="tx1"/>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calc'!$D$17:$T$17</c:f>
              <c:numCache>
                <c:formatCode>#\ ##0;\(#\ ##0\)</c:formatCode>
                <c:ptCount val="17"/>
                <c:pt idx="0">
                  <c:v>25471</c:v>
                </c:pt>
                <c:pt idx="1">
                  <c:v>22831</c:v>
                </c:pt>
                <c:pt idx="2">
                  <c:v>25850</c:v>
                </c:pt>
                <c:pt idx="3">
                  <c:v>18380</c:v>
                </c:pt>
                <c:pt idx="4">
                  <c:v>21280</c:v>
                </c:pt>
                <c:pt idx="5">
                  <c:v>23724</c:v>
                </c:pt>
                <c:pt idx="6">
                  <c:v>31862</c:v>
                </c:pt>
                <c:pt idx="7">
                  <c:v>29292</c:v>
                </c:pt>
                <c:pt idx="8">
                  <c:v>28300</c:v>
                </c:pt>
                <c:pt idx="9">
                  <c:v>26694</c:v>
                </c:pt>
                <c:pt idx="10">
                  <c:v>28023</c:v>
                </c:pt>
                <c:pt idx="11">
                  <c:v>29407.328261307088</c:v>
                </c:pt>
                <c:pt idx="12">
                  <c:v>30014.1575776112</c:v>
                </c:pt>
                <c:pt idx="13">
                  <c:v>30620.986893915313</c:v>
                </c:pt>
                <c:pt idx="14">
                  <c:v>31227.816210219426</c:v>
                </c:pt>
                <c:pt idx="15">
                  <c:v>31834.645526523534</c:v>
                </c:pt>
                <c:pt idx="16">
                  <c:v>32441.474842827647</c:v>
                </c:pt>
              </c:numCache>
            </c:numRef>
          </c:val>
          <c:extLst>
            <c:ext xmlns:c16="http://schemas.microsoft.com/office/drawing/2014/chart" uri="{C3380CC4-5D6E-409C-BE32-E72D297353CC}">
              <c16:uniqueId val="{00000002-69C1-D04C-B5E5-981D9D08CFD7}"/>
            </c:ext>
          </c:extLst>
        </c:ser>
        <c:ser>
          <c:idx val="3"/>
          <c:order val="3"/>
          <c:tx>
            <c:strRef>
              <c:f>'Supporting schedules &amp; calc'!$B$18</c:f>
              <c:strCache>
                <c:ptCount val="1"/>
                <c:pt idx="0">
                  <c:v>Services</c:v>
                </c:pt>
              </c:strCache>
            </c:strRef>
          </c:tx>
          <c:spPr>
            <a:solidFill>
              <a:schemeClr val="accent1"/>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calc'!$D$18:$T$18</c:f>
              <c:numCache>
                <c:formatCode>#\ ##0;\(#\ ##0\)</c:formatCode>
                <c:ptCount val="17"/>
                <c:pt idx="0">
                  <c:v>19909</c:v>
                </c:pt>
                <c:pt idx="1">
                  <c:v>24348</c:v>
                </c:pt>
                <c:pt idx="2">
                  <c:v>29980</c:v>
                </c:pt>
                <c:pt idx="3">
                  <c:v>39748</c:v>
                </c:pt>
                <c:pt idx="4">
                  <c:v>46291</c:v>
                </c:pt>
                <c:pt idx="5">
                  <c:v>53768</c:v>
                </c:pt>
                <c:pt idx="6">
                  <c:v>68425</c:v>
                </c:pt>
                <c:pt idx="7">
                  <c:v>78129</c:v>
                </c:pt>
                <c:pt idx="8">
                  <c:v>85200</c:v>
                </c:pt>
                <c:pt idx="9">
                  <c:v>96169</c:v>
                </c:pt>
                <c:pt idx="10">
                  <c:v>109158</c:v>
                </c:pt>
                <c:pt idx="11">
                  <c:v>119423.50063924141</c:v>
                </c:pt>
                <c:pt idx="12">
                  <c:v>129696.24628020104</c:v>
                </c:pt>
                <c:pt idx="13">
                  <c:v>139968.99192116066</c:v>
                </c:pt>
                <c:pt idx="14">
                  <c:v>150241.73756212031</c:v>
                </c:pt>
                <c:pt idx="15">
                  <c:v>160514.48320307993</c:v>
                </c:pt>
                <c:pt idx="16">
                  <c:v>170787.22884403955</c:v>
                </c:pt>
              </c:numCache>
            </c:numRef>
          </c:val>
          <c:extLst>
            <c:ext xmlns:c16="http://schemas.microsoft.com/office/drawing/2014/chart" uri="{C3380CC4-5D6E-409C-BE32-E72D297353CC}">
              <c16:uniqueId val="{00000003-69C1-D04C-B5E5-981D9D08CFD7}"/>
            </c:ext>
          </c:extLst>
        </c:ser>
        <c:ser>
          <c:idx val="4"/>
          <c:order val="4"/>
          <c:tx>
            <c:strRef>
              <c:f>'Supporting schedules &amp; calc'!$B$19</c:f>
              <c:strCache>
                <c:ptCount val="1"/>
                <c:pt idx="0">
                  <c:v>Other Products</c:v>
                </c:pt>
              </c:strCache>
            </c:strRef>
          </c:tx>
          <c:spPr>
            <a:solidFill>
              <a:schemeClr val="tx1">
                <a:lumMod val="65000"/>
                <a:lumOff val="35000"/>
              </a:schemeClr>
            </a:solidFill>
            <a:ln>
              <a:noFill/>
            </a:ln>
            <a:effectLst/>
          </c:spPr>
          <c:invertIfNegative val="0"/>
          <c:cat>
            <c:numRef>
              <c:f>'Supporting schedules &amp; calc'!$D$8:$T$8</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calc'!$D$19:$T$19</c:f>
              <c:numCache>
                <c:formatCode>#\ ##0;\(#\ ##0\)</c:formatCode>
                <c:ptCount val="17"/>
                <c:pt idx="0">
                  <c:v>10067</c:v>
                </c:pt>
                <c:pt idx="1">
                  <c:v>11132</c:v>
                </c:pt>
                <c:pt idx="2">
                  <c:v>12863</c:v>
                </c:pt>
                <c:pt idx="3">
                  <c:v>17381</c:v>
                </c:pt>
                <c:pt idx="4">
                  <c:v>24482</c:v>
                </c:pt>
                <c:pt idx="5">
                  <c:v>30620</c:v>
                </c:pt>
                <c:pt idx="6">
                  <c:v>38367</c:v>
                </c:pt>
                <c:pt idx="7">
                  <c:v>41241</c:v>
                </c:pt>
                <c:pt idx="8">
                  <c:v>39845</c:v>
                </c:pt>
                <c:pt idx="9">
                  <c:v>37005</c:v>
                </c:pt>
                <c:pt idx="10">
                  <c:v>35686</c:v>
                </c:pt>
                <c:pt idx="11">
                  <c:v>36940</c:v>
                </c:pt>
                <c:pt idx="12">
                  <c:v>39030</c:v>
                </c:pt>
                <c:pt idx="13">
                  <c:v>40870</c:v>
                </c:pt>
                <c:pt idx="14">
                  <c:v>42450</c:v>
                </c:pt>
                <c:pt idx="15">
                  <c:v>44115</c:v>
                </c:pt>
                <c:pt idx="16">
                  <c:v>46300</c:v>
                </c:pt>
              </c:numCache>
            </c:numRef>
          </c:val>
          <c:extLst>
            <c:ext xmlns:c16="http://schemas.microsoft.com/office/drawing/2014/chart" uri="{C3380CC4-5D6E-409C-BE32-E72D297353CC}">
              <c16:uniqueId val="{00000004-69C1-D04C-B5E5-981D9D08CFD7}"/>
            </c:ext>
          </c:extLst>
        </c:ser>
        <c:dLbls>
          <c:showLegendKey val="0"/>
          <c:showVal val="0"/>
          <c:showCatName val="0"/>
          <c:showSerName val="0"/>
          <c:showPercent val="0"/>
          <c:showBubbleSize val="0"/>
        </c:dLbls>
        <c:gapWidth val="64"/>
        <c:overlap val="100"/>
        <c:axId val="560907584"/>
        <c:axId val="560908480"/>
      </c:barChart>
      <c:catAx>
        <c:axId val="56090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crossAx val="560908480"/>
        <c:crosses val="autoZero"/>
        <c:auto val="1"/>
        <c:lblAlgn val="ctr"/>
        <c:lblOffset val="100"/>
        <c:noMultiLvlLbl val="0"/>
      </c:catAx>
      <c:valAx>
        <c:axId val="560908480"/>
        <c:scaling>
          <c:orientation val="minMax"/>
        </c:scaling>
        <c:delete val="0"/>
        <c:axPos val="l"/>
        <c:majorGridlines>
          <c:spPr>
            <a:ln w="9525" cap="flat" cmpd="sng" algn="ctr">
              <a:solidFill>
                <a:schemeClr val="tx1">
                  <a:lumMod val="15000"/>
                  <a:lumOff val="85000"/>
                </a:schemeClr>
              </a:solidFill>
              <a:round/>
            </a:ln>
            <a:effectLst/>
          </c:spPr>
        </c:majorGridlines>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crossAx val="560907584"/>
        <c:crosses val="autoZero"/>
        <c:crossBetween val="between"/>
      </c:valAx>
      <c:spPr>
        <a:noFill/>
        <a:ln w="31750">
          <a:noFill/>
        </a:ln>
        <a:effectLst/>
      </c:spPr>
    </c:plotArea>
    <c:legend>
      <c:legendPos val="b"/>
      <c:layout>
        <c:manualLayout>
          <c:xMode val="edge"/>
          <c:yMode val="edge"/>
          <c:x val="9.813799119702897E-2"/>
          <c:y val="0.90092636440626495"/>
          <c:w val="0.78758686625879393"/>
          <c:h val="7.5414326661656608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Gross</a:t>
            </a:r>
            <a:r>
              <a:rPr lang="en-US" baseline="0"/>
              <a:t>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46625531181023"/>
          <c:y val="9.8297707771254239E-2"/>
          <c:w val="0.83460190472251972"/>
          <c:h val="0.70027401388707133"/>
        </c:manualLayout>
      </c:layout>
      <c:lineChart>
        <c:grouping val="standard"/>
        <c:varyColors val="0"/>
        <c:ser>
          <c:idx val="0"/>
          <c:order val="0"/>
          <c:tx>
            <c:strRef>
              <c:f>'Supporting schedules &amp; calc'!$B$106</c:f>
              <c:strCache>
                <c:ptCount val="1"/>
                <c:pt idx="0">
                  <c:v>Products</c:v>
                </c:pt>
              </c:strCache>
            </c:strRef>
          </c:tx>
          <c:spPr>
            <a:ln w="28575" cap="rnd">
              <a:solidFill>
                <a:schemeClr val="bg2">
                  <a:lumMod val="50000"/>
                </a:schemeClr>
              </a:solidFill>
              <a:prstDash val="lgDash"/>
              <a:round/>
            </a:ln>
            <a:effectLst/>
          </c:spPr>
          <c:marker>
            <c:symbol val="none"/>
          </c:marker>
          <c:cat>
            <c:numRef>
              <c:f>'Supporting schedules &amp; calc'!$K$100:$T$100</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calc'!$K$106:$T$106</c:f>
              <c:numCache>
                <c:formatCode>0.00%</c:formatCode>
                <c:ptCount val="10"/>
                <c:pt idx="0">
                  <c:v>0.35299999999999998</c:v>
                </c:pt>
                <c:pt idx="1">
                  <c:v>0.36299999999999999</c:v>
                </c:pt>
                <c:pt idx="2">
                  <c:v>0.372</c:v>
                </c:pt>
                <c:pt idx="3">
                  <c:v>0.36799999999999999</c:v>
                </c:pt>
                <c:pt idx="4">
                  <c:v>0.372</c:v>
                </c:pt>
                <c:pt idx="5">
                  <c:v>0.379</c:v>
                </c:pt>
                <c:pt idx="6">
                  <c:v>0.39</c:v>
                </c:pt>
                <c:pt idx="7">
                  <c:v>0.39600000000000002</c:v>
                </c:pt>
                <c:pt idx="8">
                  <c:v>0.41099999999999998</c:v>
                </c:pt>
                <c:pt idx="9">
                  <c:v>0.42</c:v>
                </c:pt>
              </c:numCache>
            </c:numRef>
          </c:val>
          <c:smooth val="0"/>
          <c:extLst>
            <c:ext xmlns:c16="http://schemas.microsoft.com/office/drawing/2014/chart" uri="{C3380CC4-5D6E-409C-BE32-E72D297353CC}">
              <c16:uniqueId val="{00000000-A294-F24A-A57E-1504B51E08B9}"/>
            </c:ext>
          </c:extLst>
        </c:ser>
        <c:ser>
          <c:idx val="1"/>
          <c:order val="1"/>
          <c:tx>
            <c:strRef>
              <c:f>'Supporting schedules &amp; calc'!$B$107</c:f>
              <c:strCache>
                <c:ptCount val="1"/>
                <c:pt idx="0">
                  <c:v>Services</c:v>
                </c:pt>
              </c:strCache>
            </c:strRef>
          </c:tx>
          <c:spPr>
            <a:ln w="28575" cap="rnd">
              <a:solidFill>
                <a:schemeClr val="accent1"/>
              </a:solidFill>
              <a:round/>
            </a:ln>
            <a:effectLst/>
          </c:spPr>
          <c:marker>
            <c:symbol val="none"/>
          </c:marker>
          <c:cat>
            <c:numRef>
              <c:f>'Supporting schedules &amp; calc'!$K$100:$T$100</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calc'!$K$107:$T$107</c:f>
              <c:numCache>
                <c:formatCode>0.00%</c:formatCode>
                <c:ptCount val="10"/>
                <c:pt idx="0">
                  <c:v>0.69699999999999995</c:v>
                </c:pt>
                <c:pt idx="1">
                  <c:v>0.71699999999999997</c:v>
                </c:pt>
                <c:pt idx="2">
                  <c:v>0.73899999999999999</c:v>
                </c:pt>
                <c:pt idx="3">
                  <c:v>0.754</c:v>
                </c:pt>
                <c:pt idx="4">
                  <c:v>0.75700000000000001</c:v>
                </c:pt>
                <c:pt idx="5">
                  <c:v>0.76</c:v>
                </c:pt>
                <c:pt idx="6">
                  <c:v>0.76400000000000001</c:v>
                </c:pt>
                <c:pt idx="7">
                  <c:v>0.76900000000000002</c:v>
                </c:pt>
                <c:pt idx="8">
                  <c:v>0.77100000000000002</c:v>
                </c:pt>
                <c:pt idx="9">
                  <c:v>0.77500000000000002</c:v>
                </c:pt>
              </c:numCache>
            </c:numRef>
          </c:val>
          <c:smooth val="0"/>
          <c:extLst>
            <c:ext xmlns:c16="http://schemas.microsoft.com/office/drawing/2014/chart" uri="{C3380CC4-5D6E-409C-BE32-E72D297353CC}">
              <c16:uniqueId val="{00000001-A294-F24A-A57E-1504B51E08B9}"/>
            </c:ext>
          </c:extLst>
        </c:ser>
        <c:ser>
          <c:idx val="2"/>
          <c:order val="2"/>
          <c:tx>
            <c:strRef>
              <c:f>'Supporting schedules &amp; calc'!$B$108</c:f>
              <c:strCache>
                <c:ptCount val="1"/>
                <c:pt idx="0">
                  <c:v>Total gross margin %</c:v>
                </c:pt>
              </c:strCache>
            </c:strRef>
          </c:tx>
          <c:spPr>
            <a:ln w="28575" cap="rnd">
              <a:solidFill>
                <a:schemeClr val="accent4">
                  <a:lumMod val="40000"/>
                  <a:lumOff val="60000"/>
                </a:schemeClr>
              </a:solidFill>
              <a:round/>
            </a:ln>
            <a:effectLst/>
          </c:spPr>
          <c:marker>
            <c:symbol val="none"/>
          </c:marker>
          <c:cat>
            <c:numRef>
              <c:f>'Supporting schedules &amp; calc'!$K$100:$T$100</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calc'!$K$108:$T$108</c:f>
              <c:numCache>
                <c:formatCode>0.00%</c:formatCode>
                <c:ptCount val="10"/>
                <c:pt idx="0">
                  <c:v>0.41799999999999998</c:v>
                </c:pt>
                <c:pt idx="1">
                  <c:v>0.433</c:v>
                </c:pt>
                <c:pt idx="2">
                  <c:v>0.46200000000000002</c:v>
                </c:pt>
                <c:pt idx="3">
                  <c:v>0.46899999999999997</c:v>
                </c:pt>
                <c:pt idx="4">
                  <c:v>0.47299999999999998</c:v>
                </c:pt>
                <c:pt idx="5">
                  <c:v>0.47899999999999998</c:v>
                </c:pt>
                <c:pt idx="6">
                  <c:v>0.48399999999999999</c:v>
                </c:pt>
                <c:pt idx="7">
                  <c:v>0.49</c:v>
                </c:pt>
                <c:pt idx="8">
                  <c:v>0.504</c:v>
                </c:pt>
                <c:pt idx="9">
                  <c:v>0.50900000000000001</c:v>
                </c:pt>
              </c:numCache>
            </c:numRef>
          </c:val>
          <c:smooth val="0"/>
          <c:extLst>
            <c:ext xmlns:c16="http://schemas.microsoft.com/office/drawing/2014/chart" uri="{C3380CC4-5D6E-409C-BE32-E72D297353CC}">
              <c16:uniqueId val="{00000002-A294-F24A-A57E-1504B51E08B9}"/>
            </c:ext>
          </c:extLst>
        </c:ser>
        <c:dLbls>
          <c:showLegendKey val="0"/>
          <c:showVal val="0"/>
          <c:showCatName val="0"/>
          <c:showSerName val="0"/>
          <c:showPercent val="0"/>
          <c:showBubbleSize val="0"/>
        </c:dLbls>
        <c:smooth val="0"/>
        <c:axId val="1659108224"/>
        <c:axId val="1659096128"/>
      </c:lineChart>
      <c:catAx>
        <c:axId val="16591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FI"/>
          </a:p>
        </c:txPr>
        <c:crossAx val="1659096128"/>
        <c:crosses val="autoZero"/>
        <c:auto val="1"/>
        <c:lblAlgn val="ctr"/>
        <c:lblOffset val="100"/>
        <c:noMultiLvlLbl val="0"/>
      </c:catAx>
      <c:valAx>
        <c:axId val="1659096128"/>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FI"/>
          </a:p>
        </c:txPr>
        <c:crossAx val="165910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'Supporting schedules &amp; calc'!$B$85</c:f>
              <c:strCache>
                <c:ptCount val="1"/>
                <c:pt idx="0">
                  <c:v>Bear case</c:v>
                </c:pt>
              </c:strCache>
            </c:strRef>
          </c:tx>
          <c:spPr>
            <a:ln w="28575" cap="rnd">
              <a:solidFill>
                <a:schemeClr val="bg2">
                  <a:lumMod val="75000"/>
                </a:schemeClr>
              </a:solidFill>
              <a:round/>
            </a:ln>
            <a:effectLst/>
          </c:spPr>
          <c:marker>
            <c:symbol val="none"/>
          </c:marker>
          <c:cat>
            <c:strRef>
              <c:f>'Supporting schedules &amp; calc'!$D$81:$I$81</c:f>
              <c:strCache>
                <c:ptCount val="6"/>
                <c:pt idx="0">
                  <c:v>2026F</c:v>
                </c:pt>
                <c:pt idx="1">
                  <c:v>2027F</c:v>
                </c:pt>
                <c:pt idx="2">
                  <c:v>2028F</c:v>
                </c:pt>
                <c:pt idx="3">
                  <c:v>2029F</c:v>
                </c:pt>
                <c:pt idx="4">
                  <c:v>2030F</c:v>
                </c:pt>
                <c:pt idx="5">
                  <c:v>2031F</c:v>
                </c:pt>
              </c:strCache>
            </c:strRef>
          </c:cat>
          <c:val>
            <c:numRef>
              <c:f>'Supporting schedules &amp; calc'!$D$85:$I$85</c:f>
              <c:numCache>
                <c:formatCode>0.00\ %;\ \(0.00\ %\)</c:formatCode>
                <c:ptCount val="6"/>
                <c:pt idx="0">
                  <c:v>4.4999999999999998E-2</c:v>
                </c:pt>
                <c:pt idx="1">
                  <c:v>3.2000000000000001E-2</c:v>
                </c:pt>
                <c:pt idx="2">
                  <c:v>2.8000000000000001E-2</c:v>
                </c:pt>
                <c:pt idx="3">
                  <c:v>1.4999999999999999E-2</c:v>
                </c:pt>
                <c:pt idx="4">
                  <c:v>8.0000000000000002E-3</c:v>
                </c:pt>
                <c:pt idx="5">
                  <c:v>1E-3</c:v>
                </c:pt>
              </c:numCache>
            </c:numRef>
          </c:val>
          <c:smooth val="0"/>
          <c:extLst>
            <c:ext xmlns:c16="http://schemas.microsoft.com/office/drawing/2014/chart" uri="{C3380CC4-5D6E-409C-BE32-E72D297353CC}">
              <c16:uniqueId val="{00000001-8C8F-F849-9943-4CC85B9B7A36}"/>
            </c:ext>
          </c:extLst>
        </c:ser>
        <c:ser>
          <c:idx val="2"/>
          <c:order val="1"/>
          <c:tx>
            <c:strRef>
              <c:f>'Supporting schedules &amp; calc'!$B$86</c:f>
              <c:strCache>
                <c:ptCount val="1"/>
                <c:pt idx="0">
                  <c:v>Base case</c:v>
                </c:pt>
              </c:strCache>
            </c:strRef>
          </c:tx>
          <c:spPr>
            <a:ln w="28575" cap="rnd">
              <a:solidFill>
                <a:schemeClr val="tx1"/>
              </a:solidFill>
              <a:prstDash val="sysDash"/>
              <a:round/>
            </a:ln>
            <a:effectLst/>
          </c:spPr>
          <c:marker>
            <c:symbol val="none"/>
          </c:marker>
          <c:cat>
            <c:strRef>
              <c:f>'Supporting schedules &amp; calc'!$D$81:$I$81</c:f>
              <c:strCache>
                <c:ptCount val="6"/>
                <c:pt idx="0">
                  <c:v>2026F</c:v>
                </c:pt>
                <c:pt idx="1">
                  <c:v>2027F</c:v>
                </c:pt>
                <c:pt idx="2">
                  <c:v>2028F</c:v>
                </c:pt>
                <c:pt idx="3">
                  <c:v>2029F</c:v>
                </c:pt>
                <c:pt idx="4">
                  <c:v>2030F</c:v>
                </c:pt>
                <c:pt idx="5">
                  <c:v>2031F</c:v>
                </c:pt>
              </c:strCache>
            </c:strRef>
          </c:cat>
          <c:val>
            <c:numRef>
              <c:f>'Supporting schedules &amp; calc'!$D$86:$I$86</c:f>
              <c:numCache>
                <c:formatCode>0.00\ %;\ \(0.00\ %\)</c:formatCode>
                <c:ptCount val="6"/>
                <c:pt idx="0">
                  <c:v>5.7099999999999998E-2</c:v>
                </c:pt>
                <c:pt idx="1">
                  <c:v>0.05</c:v>
                </c:pt>
                <c:pt idx="2">
                  <c:v>4.7100000000000003E-2</c:v>
                </c:pt>
                <c:pt idx="3">
                  <c:v>4.4499999999999998E-2</c:v>
                </c:pt>
                <c:pt idx="4">
                  <c:v>4.2700000000000002E-2</c:v>
                </c:pt>
                <c:pt idx="5">
                  <c:v>4.2000000000000003E-2</c:v>
                </c:pt>
              </c:numCache>
            </c:numRef>
          </c:val>
          <c:smooth val="0"/>
          <c:extLst>
            <c:ext xmlns:c16="http://schemas.microsoft.com/office/drawing/2014/chart" uri="{C3380CC4-5D6E-409C-BE32-E72D297353CC}">
              <c16:uniqueId val="{00000002-8C8F-F849-9943-4CC85B9B7A36}"/>
            </c:ext>
          </c:extLst>
        </c:ser>
        <c:ser>
          <c:idx val="3"/>
          <c:order val="2"/>
          <c:tx>
            <c:strRef>
              <c:f>'Supporting schedules &amp; calc'!$B$87</c:f>
              <c:strCache>
                <c:ptCount val="1"/>
                <c:pt idx="0">
                  <c:v>Bull case</c:v>
                </c:pt>
              </c:strCache>
            </c:strRef>
          </c:tx>
          <c:spPr>
            <a:ln w="28575" cap="rnd">
              <a:solidFill>
                <a:schemeClr val="accent4"/>
              </a:solidFill>
              <a:round/>
            </a:ln>
            <a:effectLst/>
          </c:spPr>
          <c:marker>
            <c:symbol val="none"/>
          </c:marker>
          <c:cat>
            <c:strRef>
              <c:f>'Supporting schedules &amp; calc'!$D$81:$I$81</c:f>
              <c:strCache>
                <c:ptCount val="6"/>
                <c:pt idx="0">
                  <c:v>2026F</c:v>
                </c:pt>
                <c:pt idx="1">
                  <c:v>2027F</c:v>
                </c:pt>
                <c:pt idx="2">
                  <c:v>2028F</c:v>
                </c:pt>
                <c:pt idx="3">
                  <c:v>2029F</c:v>
                </c:pt>
                <c:pt idx="4">
                  <c:v>2030F</c:v>
                </c:pt>
                <c:pt idx="5">
                  <c:v>2031F</c:v>
                </c:pt>
              </c:strCache>
            </c:strRef>
          </c:cat>
          <c:val>
            <c:numRef>
              <c:f>'Supporting schedules &amp; calc'!$D$87:$I$87</c:f>
              <c:numCache>
                <c:formatCode>0.00\ %;\ \(0.00\ %\)</c:formatCode>
                <c:ptCount val="6"/>
                <c:pt idx="0">
                  <c:v>7.3999999999999996E-2</c:v>
                </c:pt>
                <c:pt idx="1">
                  <c:v>7.8E-2</c:v>
                </c:pt>
                <c:pt idx="2">
                  <c:v>8.2000000000000003E-2</c:v>
                </c:pt>
                <c:pt idx="3">
                  <c:v>8.5000000000000006E-2</c:v>
                </c:pt>
                <c:pt idx="4">
                  <c:v>0.09</c:v>
                </c:pt>
                <c:pt idx="5">
                  <c:v>9.1499999999999998E-2</c:v>
                </c:pt>
              </c:numCache>
            </c:numRef>
          </c:val>
          <c:smooth val="0"/>
          <c:extLst>
            <c:ext xmlns:c16="http://schemas.microsoft.com/office/drawing/2014/chart" uri="{C3380CC4-5D6E-409C-BE32-E72D297353CC}">
              <c16:uniqueId val="{00000003-8C8F-F849-9943-4CC85B9B7A36}"/>
            </c:ext>
          </c:extLst>
        </c:ser>
        <c:dLbls>
          <c:showLegendKey val="0"/>
          <c:showVal val="0"/>
          <c:showCatName val="0"/>
          <c:showSerName val="0"/>
          <c:showPercent val="0"/>
          <c:showBubbleSize val="0"/>
        </c:dLbls>
        <c:smooth val="0"/>
        <c:axId val="259091391"/>
        <c:axId val="496675327"/>
      </c:lineChart>
      <c:catAx>
        <c:axId val="2590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FI"/>
          </a:p>
        </c:txPr>
        <c:crossAx val="496675327"/>
        <c:crosses val="autoZero"/>
        <c:auto val="1"/>
        <c:lblAlgn val="ctr"/>
        <c:lblOffset val="100"/>
        <c:noMultiLvlLbl val="0"/>
      </c:catAx>
      <c:valAx>
        <c:axId val="496675327"/>
        <c:scaling>
          <c:orientation val="minMax"/>
        </c:scaling>
        <c:delete val="0"/>
        <c:axPos val="l"/>
        <c:majorGridlines>
          <c:spPr>
            <a:ln w="9525" cap="flat" cmpd="sng" algn="ctr">
              <a:solidFill>
                <a:schemeClr val="tx1">
                  <a:lumMod val="15000"/>
                  <a:lumOff val="85000"/>
                </a:schemeClr>
              </a:solidFill>
              <a:round/>
            </a:ln>
            <a:effectLst/>
          </c:spPr>
        </c:majorGridlines>
        <c:numFmt formatCode="0.00\ %;\ \(0.00\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crossAx val="259091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15" fmlaLink="$B$41" fmlaRange="Inputs!$B$13:$B$15" noThreeD="1" sel="3" val="0"/>
</file>

<file path=xl/ctrlProps/ctrlProp2.xml><?xml version="1.0" encoding="utf-8"?>
<formControlPr xmlns="http://schemas.microsoft.com/office/spreadsheetml/2009/9/main" objectType="Drop" dropStyle="combo" dx="15" fmlaLink="$B$41" fmlaRange="$B$52:$B$54" noThreeD="1" sel="3" val="0"/>
</file>

<file path=xl/ctrlProps/ctrlProp3.xml><?xml version="1.0" encoding="utf-8"?>
<formControlPr xmlns="http://schemas.microsoft.com/office/spreadsheetml/2009/9/main" objectType="Drop" dropStyle="combo" dx="15" fmlaLink="$B$7" fmlaRange="$B$13:$B$15" noThreeD="1" sel="3" val="0"/>
</file>

<file path=xl/ctrlProps/ctrlProp4.xml><?xml version="1.0" encoding="utf-8"?>
<formControlPr xmlns="http://schemas.microsoft.com/office/spreadsheetml/2009/9/main" objectType="Drop" dropStyle="combo" dx="15" fmlaLink="$K$70" fmlaRange="$B$66:$B$67" noThreeD="1" sel="2" val="0"/>
</file>

<file path=xl/ctrlProps/ctrlProp5.xml><?xml version="1.0" encoding="utf-8"?>
<formControlPr xmlns="http://schemas.microsoft.com/office/spreadsheetml/2009/9/main" objectType="Drop" dropStyle="combo" dx="15" fmlaLink="Outputs!$B$41" fmlaRange="Inputs!$B$13:$B$15" noThreeD="1" sel="3" val="0"/>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40</xdr:row>
          <xdr:rowOff>12700</xdr:rowOff>
        </xdr:from>
        <xdr:to>
          <xdr:col>3</xdr:col>
          <xdr:colOff>673100</xdr:colOff>
          <xdr:row>42</xdr:row>
          <xdr:rowOff>177800</xdr:rowOff>
        </xdr:to>
        <xdr:sp macro="" textlink="">
          <xdr:nvSpPr>
            <xdr:cNvPr id="8193" name="Drop Down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260121</xdr:colOff>
      <xdr:row>57</xdr:row>
      <xdr:rowOff>167794</xdr:rowOff>
    </xdr:from>
    <xdr:to>
      <xdr:col>11</xdr:col>
      <xdr:colOff>657952</xdr:colOff>
      <xdr:row>76</xdr:row>
      <xdr:rowOff>30603</xdr:rowOff>
    </xdr:to>
    <xdr:graphicFrame macro="">
      <xdr:nvGraphicFramePr>
        <xdr:cNvPr id="3" name="Chart 2">
          <a:extLst>
            <a:ext uri="{FF2B5EF4-FFF2-40B4-BE49-F238E27FC236}">
              <a16:creationId xmlns:a16="http://schemas.microsoft.com/office/drawing/2014/main" id="{C9A86499-7B46-2D16-8A58-142EFA3E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38100</xdr:colOff>
          <xdr:row>83</xdr:row>
          <xdr:rowOff>38100</xdr:rowOff>
        </xdr:from>
        <xdr:to>
          <xdr:col>3</xdr:col>
          <xdr:colOff>152400</xdr:colOff>
          <xdr:row>85</xdr:row>
          <xdr:rowOff>127000</xdr:rowOff>
        </xdr:to>
        <xdr:sp macro="" textlink="">
          <xdr:nvSpPr>
            <xdr:cNvPr id="8194" name="Drop Down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4</xdr:col>
      <xdr:colOff>69744</xdr:colOff>
      <xdr:row>2</xdr:row>
      <xdr:rowOff>5904</xdr:rowOff>
    </xdr:from>
    <xdr:to>
      <xdr:col>8</xdr:col>
      <xdr:colOff>817965</xdr:colOff>
      <xdr:row>20</xdr:row>
      <xdr:rowOff>4631</xdr:rowOff>
    </xdr:to>
    <xdr:pic>
      <xdr:nvPicPr>
        <xdr:cNvPr id="15" name="Picture 14">
          <a:extLst>
            <a:ext uri="{FF2B5EF4-FFF2-40B4-BE49-F238E27FC236}">
              <a16:creationId xmlns:a16="http://schemas.microsoft.com/office/drawing/2014/main" id="{FB88F4AF-7D96-C77F-1554-694FEEC86A04}"/>
            </a:ext>
          </a:extLst>
        </xdr:cNvPr>
        <xdr:cNvPicPr>
          <a:picLocks noChangeAspect="1"/>
        </xdr:cNvPicPr>
      </xdr:nvPicPr>
      <xdr:blipFill>
        <a:blip xmlns:r="http://schemas.openxmlformats.org/officeDocument/2006/relationships" r:embed="rId2"/>
        <a:stretch>
          <a:fillRect/>
        </a:stretch>
      </xdr:blipFill>
      <xdr:spPr>
        <a:xfrm>
          <a:off x="3427710" y="393362"/>
          <a:ext cx="4020086" cy="3485845"/>
        </a:xfrm>
        <a:prstGeom prst="rect">
          <a:avLst/>
        </a:prstGeom>
      </xdr:spPr>
    </xdr:pic>
    <xdr:clientData/>
  </xdr:twoCellAnchor>
  <xdr:twoCellAnchor>
    <xdr:from>
      <xdr:col>10</xdr:col>
      <xdr:colOff>39688</xdr:colOff>
      <xdr:row>57</xdr:row>
      <xdr:rowOff>158750</xdr:rowOff>
    </xdr:from>
    <xdr:to>
      <xdr:col>10</xdr:col>
      <xdr:colOff>39688</xdr:colOff>
      <xdr:row>75</xdr:row>
      <xdr:rowOff>99219</xdr:rowOff>
    </xdr:to>
    <xdr:cxnSp macro="">
      <xdr:nvCxnSpPr>
        <xdr:cNvPr id="4" name="Straight Connector 3">
          <a:extLst>
            <a:ext uri="{FF2B5EF4-FFF2-40B4-BE49-F238E27FC236}">
              <a16:creationId xmlns:a16="http://schemas.microsoft.com/office/drawing/2014/main" id="{37DF8B28-00EB-5406-0E28-3344BD71302B}"/>
            </a:ext>
          </a:extLst>
        </xdr:cNvPr>
        <xdr:cNvCxnSpPr/>
      </xdr:nvCxnSpPr>
      <xdr:spPr>
        <a:xfrm flipV="1">
          <a:off x="8453438" y="13513594"/>
          <a:ext cx="0" cy="3512344"/>
        </a:xfrm>
        <a:prstGeom prst="line">
          <a:avLst/>
        </a:prstGeom>
        <a:ln w="38100" cmpd="sng">
          <a:solidFill>
            <a:schemeClr val="tx1"/>
          </a:solidFill>
          <a:prstDash val="lgDash"/>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119063</xdr:colOff>
      <xdr:row>57</xdr:row>
      <xdr:rowOff>99218</xdr:rowOff>
    </xdr:from>
    <xdr:ext cx="1170781" cy="436787"/>
    <xdr:sp macro="" textlink="">
      <xdr:nvSpPr>
        <xdr:cNvPr id="6" name="TextBox 5">
          <a:extLst>
            <a:ext uri="{FF2B5EF4-FFF2-40B4-BE49-F238E27FC236}">
              <a16:creationId xmlns:a16="http://schemas.microsoft.com/office/drawing/2014/main" id="{CBA43658-9AC9-31AF-176F-46A0F0EA5C3B}"/>
            </a:ext>
          </a:extLst>
        </xdr:cNvPr>
        <xdr:cNvSpPr txBox="1"/>
      </xdr:nvSpPr>
      <xdr:spPr>
        <a:xfrm>
          <a:off x="8532813" y="13553281"/>
          <a:ext cx="1170781" cy="436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1"/>
            <a:t>Current share price (</a:t>
          </a:r>
          <a:r>
            <a:rPr lang="en-US" sz="1100" i="1" baseline="0"/>
            <a:t> $ 271,00 )</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0.89372</cdr:x>
      <cdr:y>0.22632</cdr:y>
    </cdr:from>
    <cdr:to>
      <cdr:x>1</cdr:x>
      <cdr:y>0.30283</cdr:y>
    </cdr:to>
    <cdr:sp macro="" textlink="">
      <cdr:nvSpPr>
        <cdr:cNvPr id="2" name="TextBox 1">
          <a:extLst xmlns:a="http://schemas.openxmlformats.org/drawingml/2006/main">
            <a:ext uri="{FF2B5EF4-FFF2-40B4-BE49-F238E27FC236}">
              <a16:creationId xmlns:a16="http://schemas.microsoft.com/office/drawing/2014/main" id="{46C133D1-E28E-C082-5855-DA9C276CFFAC}"/>
            </a:ext>
          </a:extLst>
        </cdr:cNvPr>
        <cdr:cNvSpPr txBox="1"/>
      </cdr:nvSpPr>
      <cdr:spPr>
        <a:xfrm xmlns:a="http://schemas.openxmlformats.org/drawingml/2006/main">
          <a:off x="7689585" y="809129"/>
          <a:ext cx="914400" cy="27353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0.78418</cdr:x>
      <cdr:y>0.22097</cdr:y>
    </cdr:from>
    <cdr:to>
      <cdr:x>0.87195</cdr:x>
      <cdr:y>0.54916</cdr:y>
    </cdr:to>
    <cdr:sp macro="" textlink="">
      <cdr:nvSpPr>
        <cdr:cNvPr id="3" name="TextBox 2">
          <a:extLst xmlns:a="http://schemas.openxmlformats.org/drawingml/2006/main">
            <a:ext uri="{FF2B5EF4-FFF2-40B4-BE49-F238E27FC236}">
              <a16:creationId xmlns:a16="http://schemas.microsoft.com/office/drawing/2014/main" id="{83FC0E58-8CF2-0F53-9E27-4E05A96465B7}"/>
            </a:ext>
          </a:extLst>
        </cdr:cNvPr>
        <cdr:cNvSpPr txBox="1"/>
      </cdr:nvSpPr>
      <cdr:spPr>
        <a:xfrm xmlns:a="http://schemas.openxmlformats.org/drawingml/2006/main">
          <a:off x="6972110" y="802811"/>
          <a:ext cx="780359" cy="11923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400" b="1" kern="1200"/>
        </a:p>
        <a:p xmlns:a="http://schemas.openxmlformats.org/drawingml/2006/main">
          <a:endParaRPr lang="en-US" sz="1400" b="1" kern="1200"/>
        </a:p>
        <a:p xmlns:a="http://schemas.openxmlformats.org/drawingml/2006/main">
          <a:endParaRPr lang="en-US" sz="1400" b="1" kern="1200"/>
        </a:p>
      </cdr:txBody>
    </cdr:sp>
  </cdr:relSizeAnchor>
</c:userShapes>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152400</xdr:rowOff>
        </xdr:from>
        <xdr:to>
          <xdr:col>3</xdr:col>
          <xdr:colOff>215900</xdr:colOff>
          <xdr:row>8</xdr:row>
          <xdr:rowOff>38100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177800</xdr:colOff>
          <xdr:row>67</xdr:row>
          <xdr:rowOff>152400</xdr:rowOff>
        </xdr:from>
        <xdr:to>
          <xdr:col>12</xdr:col>
          <xdr:colOff>685800</xdr:colOff>
          <xdr:row>71</xdr:row>
          <xdr:rowOff>76200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0</xdr:col>
      <xdr:colOff>791146</xdr:colOff>
      <xdr:row>39</xdr:row>
      <xdr:rowOff>104099</xdr:rowOff>
    </xdr:from>
    <xdr:ext cx="5933607" cy="458034"/>
    <xdr:sp macro="" textlink="">
      <xdr:nvSpPr>
        <xdr:cNvPr id="2" name="TextBox 1">
          <a:extLst>
            <a:ext uri="{FF2B5EF4-FFF2-40B4-BE49-F238E27FC236}">
              <a16:creationId xmlns:a16="http://schemas.microsoft.com/office/drawing/2014/main" id="{0DEB1F69-39B6-E362-0B9F-4DCBFC0AC1C5}"/>
            </a:ext>
          </a:extLst>
        </xdr:cNvPr>
        <xdr:cNvSpPr txBox="1"/>
      </xdr:nvSpPr>
      <xdr:spPr>
        <a:xfrm>
          <a:off x="791146" y="10035083"/>
          <a:ext cx="5933607" cy="458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a:solidFill>
                <a:schemeClr val="tx1"/>
              </a:solidFill>
              <a:effectLst/>
              <a:latin typeface="+mn-lt"/>
              <a:ea typeface="+mn-ea"/>
              <a:cs typeface="+mn-cs"/>
            </a:rPr>
            <a:t>Any forecast line shown in blue font on the Model tab indicates that the item has either been held constant at the latest historical year's value, set to zero, or estimated based on a specific assumption.</a:t>
          </a:r>
        </a:p>
        <a:p>
          <a:endParaRPr lang="en-US" sz="1100"/>
        </a:p>
      </xdr:txBody>
    </xdr:sp>
    <xdr:clientData/>
  </xdr:oneCellAnchor>
  <xdr:oneCellAnchor>
    <xdr:from>
      <xdr:col>6</xdr:col>
      <xdr:colOff>624590</xdr:colOff>
      <xdr:row>48</xdr:row>
      <xdr:rowOff>-1</xdr:rowOff>
    </xdr:from>
    <xdr:ext cx="3476886" cy="270657"/>
    <xdr:sp macro="" textlink="">
      <xdr:nvSpPr>
        <xdr:cNvPr id="3" name="TextBox 2">
          <a:extLst>
            <a:ext uri="{FF2B5EF4-FFF2-40B4-BE49-F238E27FC236}">
              <a16:creationId xmlns:a16="http://schemas.microsoft.com/office/drawing/2014/main" id="{EC1FB9AC-595A-0E05-C268-20DE7A82F923}"/>
            </a:ext>
          </a:extLst>
        </xdr:cNvPr>
        <xdr:cNvSpPr txBox="1"/>
      </xdr:nvSpPr>
      <xdr:spPr>
        <a:xfrm>
          <a:off x="5621311" y="11825573"/>
          <a:ext cx="3476886" cy="270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tx1"/>
              </a:solidFill>
              <a:effectLst/>
              <a:latin typeface="+mn-lt"/>
              <a:ea typeface="+mn-ea"/>
              <a:cs typeface="+mn-cs"/>
            </a:rPr>
            <a:t>EV / EBITDA multiple  is based on a trading comps analysis </a:t>
          </a:r>
          <a:r>
            <a:rPr lang="en-US" i="1">
              <a:effectLst/>
            </a:rPr>
            <a:t> </a:t>
          </a:r>
        </a:p>
        <a:p>
          <a:endParaRPr lang="en-US" sz="1100"/>
        </a:p>
      </xdr:txBody>
    </xdr:sp>
    <xdr:clientData/>
  </xdr:oneCellAnchor>
  <xdr:oneCellAnchor>
    <xdr:from>
      <xdr:col>6</xdr:col>
      <xdr:colOff>603771</xdr:colOff>
      <xdr:row>49</xdr:row>
      <xdr:rowOff>104098</xdr:rowOff>
    </xdr:from>
    <xdr:ext cx="5558852" cy="436530"/>
    <xdr:sp macro="" textlink="">
      <xdr:nvSpPr>
        <xdr:cNvPr id="4" name="TextBox 3">
          <a:extLst>
            <a:ext uri="{FF2B5EF4-FFF2-40B4-BE49-F238E27FC236}">
              <a16:creationId xmlns:a16="http://schemas.microsoft.com/office/drawing/2014/main" id="{556AF8B7-4FFF-73B8-2651-19CAF4CD4EB9}"/>
            </a:ext>
          </a:extLst>
        </xdr:cNvPr>
        <xdr:cNvSpPr txBox="1"/>
      </xdr:nvSpPr>
      <xdr:spPr>
        <a:xfrm>
          <a:off x="5600492" y="12179508"/>
          <a:ext cx="5558852" cy="436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a:solidFill>
                <a:schemeClr val="tx1"/>
              </a:solidFill>
              <a:effectLst/>
              <a:latin typeface="+mn-lt"/>
              <a:ea typeface="+mn-ea"/>
              <a:cs typeface="+mn-cs"/>
            </a:rPr>
            <a:t>WACC is derived using a CAPM-based framework. For flexibility, the model incorporates a beta toggle, enabling  to switch between the company's historical beta and a calculated beta.</a:t>
          </a:r>
        </a:p>
      </xdr:txBody>
    </xdr:sp>
    <xdr:clientData/>
  </xdr:oneCellAnchor>
  <xdr:oneCellAnchor>
    <xdr:from>
      <xdr:col>0</xdr:col>
      <xdr:colOff>811967</xdr:colOff>
      <xdr:row>15</xdr:row>
      <xdr:rowOff>145738</xdr:rowOff>
    </xdr:from>
    <xdr:ext cx="3102131" cy="264431"/>
    <xdr:sp macro="" textlink="">
      <xdr:nvSpPr>
        <xdr:cNvPr id="5" name="TextBox 4">
          <a:extLst>
            <a:ext uri="{FF2B5EF4-FFF2-40B4-BE49-F238E27FC236}">
              <a16:creationId xmlns:a16="http://schemas.microsoft.com/office/drawing/2014/main" id="{F73278E0-F0EF-2161-24DE-6A66F338DFD1}"/>
            </a:ext>
          </a:extLst>
        </xdr:cNvPr>
        <xdr:cNvSpPr txBox="1"/>
      </xdr:nvSpPr>
      <xdr:spPr>
        <a:xfrm>
          <a:off x="811967" y="3955738"/>
          <a:ext cx="31021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More about revenue forecast on the input calc tab</a:t>
          </a:r>
        </a:p>
      </xdr:txBody>
    </xdr:sp>
    <xdr:clientData/>
  </xdr:one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7</xdr:row>
          <xdr:rowOff>25400</xdr:rowOff>
        </xdr:from>
        <xdr:to>
          <xdr:col>3</xdr:col>
          <xdr:colOff>228600</xdr:colOff>
          <xdr:row>8</xdr:row>
          <xdr:rowOff>152400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708256</xdr:colOff>
      <xdr:row>42</xdr:row>
      <xdr:rowOff>37400</xdr:rowOff>
    </xdr:from>
    <xdr:to>
      <xdr:col>18</xdr:col>
      <xdr:colOff>708256</xdr:colOff>
      <xdr:row>68</xdr:row>
      <xdr:rowOff>134787</xdr:rowOff>
    </xdr:to>
    <xdr:graphicFrame macro="">
      <xdr:nvGraphicFramePr>
        <xdr:cNvPr id="4" name="Chart 3">
          <a:extLst>
            <a:ext uri="{FF2B5EF4-FFF2-40B4-BE49-F238E27FC236}">
              <a16:creationId xmlns:a16="http://schemas.microsoft.com/office/drawing/2014/main" id="{6176A863-D94A-ED90-E658-6DC9FB8F4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16933</xdr:colOff>
      <xdr:row>115</xdr:row>
      <xdr:rowOff>187037</xdr:rowOff>
    </xdr:from>
    <xdr:to>
      <xdr:col>16</xdr:col>
      <xdr:colOff>491067</xdr:colOff>
      <xdr:row>139</xdr:row>
      <xdr:rowOff>101600</xdr:rowOff>
    </xdr:to>
    <xdr:graphicFrame macro="">
      <xdr:nvGraphicFramePr>
        <xdr:cNvPr id="6" name="Chart 5">
          <a:extLst>
            <a:ext uri="{FF2B5EF4-FFF2-40B4-BE49-F238E27FC236}">
              <a16:creationId xmlns:a16="http://schemas.microsoft.com/office/drawing/2014/main" id="{CC77F79D-3D17-24A5-D900-E880C6CD5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778933</xdr:colOff>
      <xdr:row>79</xdr:row>
      <xdr:rowOff>101600</xdr:rowOff>
    </xdr:from>
    <xdr:to>
      <xdr:col>19</xdr:col>
      <xdr:colOff>355600</xdr:colOff>
      <xdr:row>93</xdr:row>
      <xdr:rowOff>101600</xdr:rowOff>
    </xdr:to>
    <xdr:graphicFrame macro="">
      <xdr:nvGraphicFramePr>
        <xdr:cNvPr id="2" name="Chart 1">
          <a:extLst>
            <a:ext uri="{FF2B5EF4-FFF2-40B4-BE49-F238E27FC236}">
              <a16:creationId xmlns:a16="http://schemas.microsoft.com/office/drawing/2014/main" id="{96ECA636-C801-1FAC-F43C-855898E03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762000</xdr:colOff>
      <xdr:row>87</xdr:row>
      <xdr:rowOff>177800</xdr:rowOff>
    </xdr:from>
    <xdr:ext cx="4927600" cy="1955800"/>
    <xdr:sp macro="" textlink="">
      <xdr:nvSpPr>
        <xdr:cNvPr id="3" name="TextBox 2">
          <a:extLst>
            <a:ext uri="{FF2B5EF4-FFF2-40B4-BE49-F238E27FC236}">
              <a16:creationId xmlns:a16="http://schemas.microsoft.com/office/drawing/2014/main" id="{F5AAD23F-8308-E4EA-8CD8-3683B451C028}"/>
            </a:ext>
          </a:extLst>
        </xdr:cNvPr>
        <xdr:cNvSpPr txBox="1"/>
      </xdr:nvSpPr>
      <xdr:spPr>
        <a:xfrm>
          <a:off x="2438400" y="21666200"/>
          <a:ext cx="4927600" cy="1955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For example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Bear case: China risks, regulatory pressure on services</a:t>
          </a:r>
          <a:r>
            <a:rPr lang="en-US" sz="1400" b="0" i="0" u="none" strike="noStrike" baseline="0">
              <a:solidFill>
                <a:schemeClr val="tx1"/>
              </a:solidFill>
              <a:effectLst/>
              <a:latin typeface="+mn-lt"/>
              <a:ea typeface="+mn-ea"/>
              <a:cs typeface="+mn-cs"/>
            </a:rPr>
            <a:t> or</a:t>
          </a:r>
          <a:r>
            <a:rPr lang="en-US" sz="1400" b="0" i="0" u="none" strike="noStrike">
              <a:solidFill>
                <a:schemeClr val="tx1"/>
              </a:solidFill>
              <a:effectLst/>
              <a:latin typeface="+mn-lt"/>
              <a:ea typeface="+mn-ea"/>
              <a:cs typeface="+mn-cs"/>
            </a:rPr>
            <a:t> shrinking iPhone market</a:t>
          </a:r>
          <a:r>
            <a:rPr lang="en-US" sz="1400">
              <a:effectLst/>
            </a:rPr>
            <a:t> </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Base case: Historical trend continues, Services grow moderately</a:t>
          </a:r>
          <a:r>
            <a:rPr lang="en-US" sz="1400">
              <a:effectLst/>
            </a:rPr>
            <a:t> </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Bull case: AI-driven iPhone cycle, 30% of revenue, new product category</a:t>
          </a:r>
          <a:r>
            <a:rPr lang="en-US" sz="1400">
              <a:effectLst/>
            </a:rPr>
            <a:t> </a:t>
          </a: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9616-5365-824A-8DAA-E4CEAECD9292}">
  <sheetPr>
    <pageSetUpPr autoPageBreaks="0" fitToPage="1"/>
  </sheetPr>
  <dimension ref="B2:T125"/>
  <sheetViews>
    <sheetView showGridLines="0" topLeftCell="A95" zoomScale="64" zoomScaleNormal="64" zoomScalePageLayoutView="43" workbookViewId="0">
      <selection activeCell="P50" sqref="P50"/>
    </sheetView>
  </sheetViews>
  <sheetFormatPr baseColWidth="10" defaultRowHeight="16" x14ac:dyDescent="0.2"/>
  <cols>
    <col min="1" max="1" width="10.83203125" style="1" customWidth="1"/>
    <col min="2" max="3" width="10.6640625" style="1" customWidth="1"/>
    <col min="4" max="4" width="12" style="1" bestFit="1" customWidth="1"/>
    <col min="5" max="5" width="10.33203125" style="1" customWidth="1"/>
    <col min="6" max="6" width="11" style="1" customWidth="1"/>
    <col min="7" max="8" width="10.83203125" style="1"/>
    <col min="9" max="9" width="11" style="1" bestFit="1" customWidth="1"/>
    <col min="10" max="11" width="12" style="1" bestFit="1" customWidth="1"/>
    <col min="12" max="12" width="11" style="1" bestFit="1" customWidth="1"/>
    <col min="13" max="16384" width="10.83203125" style="1"/>
  </cols>
  <sheetData>
    <row r="2" spans="2:12" x14ac:dyDescent="0.2">
      <c r="B2" s="150"/>
      <c r="C2" s="150"/>
      <c r="D2" s="150"/>
      <c r="E2" s="150"/>
      <c r="F2" s="150"/>
      <c r="G2" s="150"/>
      <c r="H2" s="150"/>
      <c r="I2" s="150"/>
      <c r="J2" s="150"/>
      <c r="K2" s="150"/>
      <c r="L2" s="150"/>
    </row>
    <row r="3" spans="2:12" x14ac:dyDescent="0.2">
      <c r="B3" s="150"/>
      <c r="C3" s="150"/>
      <c r="D3" s="150"/>
      <c r="E3" s="150"/>
      <c r="F3" s="150"/>
      <c r="G3" s="150"/>
      <c r="H3" s="150"/>
      <c r="I3" s="150"/>
      <c r="J3" s="150"/>
      <c r="K3" s="150"/>
      <c r="L3" s="150"/>
    </row>
    <row r="4" spans="2:12" x14ac:dyDescent="0.2">
      <c r="B4" s="150"/>
      <c r="C4" s="150"/>
      <c r="D4" s="150"/>
      <c r="E4" s="150"/>
      <c r="F4" s="150"/>
      <c r="G4" s="150"/>
      <c r="H4" s="150"/>
      <c r="I4" s="150"/>
      <c r="J4" s="150"/>
      <c r="K4" s="150"/>
      <c r="L4" s="150"/>
    </row>
    <row r="5" spans="2:12" x14ac:dyDescent="0.2">
      <c r="B5" s="150"/>
      <c r="C5" s="150"/>
      <c r="D5" s="150"/>
      <c r="E5" s="150"/>
      <c r="F5" s="150"/>
      <c r="G5" s="150"/>
      <c r="H5" s="150"/>
      <c r="I5" s="150"/>
      <c r="J5" s="150"/>
      <c r="K5" s="150"/>
      <c r="L5" s="150"/>
    </row>
    <row r="6" spans="2:12" x14ac:dyDescent="0.2">
      <c r="B6" s="150"/>
      <c r="C6" s="150"/>
      <c r="D6" s="150"/>
      <c r="E6" s="150"/>
      <c r="F6" s="150"/>
      <c r="G6" s="150"/>
      <c r="H6" s="150"/>
      <c r="I6" s="150"/>
      <c r="J6" s="150"/>
      <c r="K6" s="150"/>
      <c r="L6" s="150"/>
    </row>
    <row r="7" spans="2:12" x14ac:dyDescent="0.2">
      <c r="B7" s="150"/>
      <c r="C7" s="150"/>
      <c r="D7" s="150"/>
      <c r="E7" s="150"/>
      <c r="F7" s="150"/>
      <c r="G7" s="150"/>
      <c r="H7" s="150"/>
      <c r="I7" s="150"/>
      <c r="J7" s="150"/>
      <c r="K7" s="150"/>
      <c r="L7" s="150"/>
    </row>
    <row r="8" spans="2:12" x14ac:dyDescent="0.2">
      <c r="B8" s="150"/>
      <c r="C8" s="150"/>
      <c r="D8" s="150"/>
      <c r="E8" s="150"/>
      <c r="F8" s="150"/>
      <c r="G8" s="150"/>
      <c r="H8" s="150"/>
      <c r="I8" s="150"/>
      <c r="J8" s="150"/>
      <c r="K8" s="150"/>
      <c r="L8" s="150"/>
    </row>
    <row r="9" spans="2:12" x14ac:dyDescent="0.2">
      <c r="B9" s="150"/>
      <c r="C9" s="150"/>
      <c r="D9" s="150"/>
      <c r="E9" s="150"/>
      <c r="F9" s="150"/>
      <c r="G9" s="150"/>
      <c r="H9" s="150"/>
      <c r="I9" s="150"/>
      <c r="J9" s="150"/>
      <c r="K9" s="150"/>
      <c r="L9" s="150"/>
    </row>
    <row r="10" spans="2:12" x14ac:dyDescent="0.2">
      <c r="B10" s="150"/>
      <c r="C10" s="150"/>
      <c r="D10" s="150"/>
      <c r="E10" s="150"/>
      <c r="F10" s="150"/>
      <c r="G10" s="150"/>
      <c r="H10" s="150"/>
      <c r="I10" s="150"/>
      <c r="J10" s="150"/>
      <c r="K10" s="150"/>
      <c r="L10" s="150"/>
    </row>
    <row r="11" spans="2:12" x14ac:dyDescent="0.2">
      <c r="B11" s="150"/>
      <c r="C11" s="150"/>
      <c r="D11" s="150"/>
      <c r="E11" s="150"/>
      <c r="F11" s="150"/>
      <c r="G11" s="150"/>
      <c r="H11" s="150"/>
      <c r="I11" s="150"/>
      <c r="J11" s="150"/>
      <c r="K11" s="150"/>
      <c r="L11" s="150"/>
    </row>
    <row r="12" spans="2:12" x14ac:dyDescent="0.2">
      <c r="B12" s="150"/>
      <c r="C12" s="150"/>
      <c r="D12" s="150"/>
      <c r="E12" s="150"/>
      <c r="F12" s="150"/>
      <c r="G12" s="150"/>
      <c r="H12" s="150"/>
      <c r="I12" s="150"/>
      <c r="J12" s="150"/>
      <c r="K12" s="150"/>
      <c r="L12" s="150"/>
    </row>
    <row r="13" spans="2:12" x14ac:dyDescent="0.2">
      <c r="B13" s="150"/>
      <c r="C13" s="150"/>
      <c r="D13" s="150"/>
      <c r="E13" s="150"/>
      <c r="F13" s="150"/>
      <c r="G13" s="150"/>
      <c r="H13" s="150"/>
      <c r="I13" s="150"/>
      <c r="J13" s="150"/>
      <c r="K13" s="150"/>
      <c r="L13" s="150"/>
    </row>
    <row r="14" spans="2:12" x14ac:dyDescent="0.2">
      <c r="B14" s="150"/>
      <c r="C14" s="150"/>
      <c r="D14" s="150"/>
      <c r="E14" s="150"/>
      <c r="F14" s="150"/>
      <c r="G14" s="150"/>
      <c r="H14" s="150"/>
      <c r="I14" s="150"/>
      <c r="J14" s="150"/>
      <c r="K14" s="150"/>
      <c r="L14" s="150"/>
    </row>
    <row r="15" spans="2:12" x14ac:dyDescent="0.2">
      <c r="B15" s="150"/>
      <c r="C15" s="150"/>
      <c r="D15" s="150"/>
      <c r="E15" s="150"/>
      <c r="F15" s="150"/>
      <c r="G15" s="150"/>
      <c r="H15" s="150"/>
      <c r="I15" s="150"/>
      <c r="J15" s="150"/>
      <c r="K15" s="150"/>
      <c r="L15" s="150"/>
    </row>
    <row r="16" spans="2:12" x14ac:dyDescent="0.2">
      <c r="B16" s="150"/>
      <c r="C16" s="150"/>
      <c r="D16" s="150"/>
      <c r="E16" s="150"/>
      <c r="F16" s="150"/>
      <c r="G16" s="150"/>
      <c r="H16" s="150"/>
      <c r="I16" s="150"/>
      <c r="J16" s="150"/>
      <c r="K16" s="150"/>
      <c r="L16" s="150"/>
    </row>
    <row r="17" spans="2:12" x14ac:dyDescent="0.2">
      <c r="B17" s="150"/>
      <c r="C17" s="150"/>
      <c r="D17" s="150"/>
      <c r="E17" s="150"/>
      <c r="F17" s="150"/>
      <c r="G17" s="150"/>
      <c r="H17" s="150"/>
      <c r="I17" s="150"/>
      <c r="J17" s="150"/>
      <c r="K17" s="150"/>
      <c r="L17" s="150"/>
    </row>
    <row r="18" spans="2:12" x14ac:dyDescent="0.2">
      <c r="B18" s="150"/>
      <c r="C18" s="150"/>
      <c r="D18" s="150"/>
      <c r="E18" s="150"/>
      <c r="F18" s="150"/>
      <c r="G18" s="150"/>
      <c r="H18" s="150"/>
      <c r="I18" s="150"/>
      <c r="J18" s="150"/>
      <c r="K18" s="150"/>
      <c r="L18" s="150"/>
    </row>
    <row r="19" spans="2:12" x14ac:dyDescent="0.2">
      <c r="B19" s="150"/>
      <c r="C19" s="150"/>
      <c r="D19" s="150"/>
      <c r="E19" s="150"/>
      <c r="F19" s="150"/>
      <c r="G19" s="150"/>
      <c r="H19" s="150"/>
      <c r="I19" s="150"/>
      <c r="J19" s="150"/>
      <c r="K19" s="150"/>
      <c r="L19" s="150"/>
    </row>
    <row r="20" spans="2:12" x14ac:dyDescent="0.2">
      <c r="B20" s="150"/>
      <c r="C20" s="150"/>
      <c r="D20" s="150"/>
      <c r="E20" s="150"/>
      <c r="F20" s="150"/>
      <c r="G20" s="150"/>
      <c r="H20" s="150"/>
      <c r="I20" s="150"/>
      <c r="J20" s="150"/>
      <c r="K20" s="150"/>
      <c r="L20" s="150"/>
    </row>
    <row r="21" spans="2:12" x14ac:dyDescent="0.2">
      <c r="B21" s="150"/>
      <c r="C21" s="150"/>
      <c r="D21" s="150"/>
      <c r="E21" s="150"/>
      <c r="F21" s="150"/>
      <c r="G21" s="150"/>
      <c r="H21" s="150"/>
      <c r="I21" s="150"/>
      <c r="J21" s="150"/>
      <c r="K21" s="150"/>
      <c r="L21" s="150"/>
    </row>
    <row r="22" spans="2:12" ht="34" x14ac:dyDescent="0.4">
      <c r="B22" s="223" t="s">
        <v>182</v>
      </c>
      <c r="C22" s="221"/>
      <c r="D22" s="221"/>
      <c r="E22" s="221"/>
      <c r="F22" s="221"/>
      <c r="G22" s="221"/>
      <c r="H22" s="221"/>
      <c r="I22" s="150"/>
      <c r="J22" s="150"/>
      <c r="K22" s="150"/>
      <c r="L22" s="150"/>
    </row>
    <row r="23" spans="2:12" ht="29" x14ac:dyDescent="0.35">
      <c r="B23" s="152" t="s">
        <v>193</v>
      </c>
      <c r="C23" s="221"/>
      <c r="D23" s="221"/>
      <c r="E23" s="221"/>
      <c r="F23" s="221"/>
      <c r="G23" s="221"/>
      <c r="H23" s="221"/>
      <c r="I23" s="150"/>
      <c r="J23" s="150"/>
      <c r="K23" s="150"/>
      <c r="L23" s="150"/>
    </row>
    <row r="24" spans="2:12" ht="19" x14ac:dyDescent="0.25">
      <c r="B24" s="233"/>
      <c r="C24" s="221"/>
      <c r="D24" s="221"/>
      <c r="E24" s="221"/>
      <c r="F24" s="221"/>
      <c r="G24" s="221"/>
      <c r="H24" s="221"/>
      <c r="I24" s="150"/>
      <c r="J24" s="150"/>
      <c r="K24" s="150"/>
      <c r="L24" s="150"/>
    </row>
    <row r="25" spans="2:12" ht="24" x14ac:dyDescent="0.3">
      <c r="B25" s="151" t="s">
        <v>183</v>
      </c>
      <c r="C25" s="221"/>
      <c r="D25" s="221"/>
      <c r="E25" s="221"/>
      <c r="F25" s="221"/>
      <c r="G25" s="221"/>
      <c r="H25" s="221"/>
      <c r="I25" s="150"/>
      <c r="J25" s="150"/>
      <c r="K25" s="150"/>
      <c r="L25" s="150"/>
    </row>
    <row r="26" spans="2:12" x14ac:dyDescent="0.2">
      <c r="B26" s="221"/>
      <c r="C26" s="221"/>
      <c r="D26" s="221"/>
      <c r="E26" s="221"/>
      <c r="F26" s="221"/>
      <c r="G26" s="221"/>
      <c r="H26" s="221"/>
      <c r="I26" s="150"/>
      <c r="J26" s="150"/>
      <c r="K26" s="150"/>
      <c r="L26" s="150"/>
    </row>
    <row r="27" spans="2:12" ht="22" x14ac:dyDescent="0.3">
      <c r="B27" s="222" t="s">
        <v>176</v>
      </c>
      <c r="C27" s="218" t="s">
        <v>165</v>
      </c>
      <c r="D27" s="221"/>
      <c r="E27" s="221"/>
      <c r="F27" s="221"/>
      <c r="G27" s="221"/>
      <c r="H27" s="221"/>
      <c r="I27" s="150"/>
      <c r="J27" s="150"/>
      <c r="K27" s="150"/>
      <c r="L27" s="150"/>
    </row>
    <row r="28" spans="2:12" ht="22" x14ac:dyDescent="0.3">
      <c r="B28" s="222" t="s">
        <v>177</v>
      </c>
      <c r="C28" s="218" t="s">
        <v>185</v>
      </c>
      <c r="D28" s="221"/>
      <c r="E28" s="221"/>
      <c r="F28" s="221"/>
      <c r="G28" s="221"/>
      <c r="H28" s="221"/>
      <c r="I28" s="150"/>
      <c r="J28" s="150"/>
      <c r="K28" s="150"/>
      <c r="L28" s="150"/>
    </row>
    <row r="29" spans="2:12" ht="22" x14ac:dyDescent="0.3">
      <c r="B29" s="222" t="s">
        <v>178</v>
      </c>
      <c r="C29" s="218" t="s">
        <v>216</v>
      </c>
      <c r="D29" s="221"/>
      <c r="E29" s="221"/>
      <c r="F29" s="221"/>
      <c r="G29" s="221"/>
      <c r="H29" s="221"/>
      <c r="I29" s="150"/>
      <c r="J29" s="150"/>
      <c r="K29" s="150"/>
      <c r="L29" s="150"/>
    </row>
    <row r="30" spans="2:12" ht="22" x14ac:dyDescent="0.3">
      <c r="B30" s="222" t="s">
        <v>179</v>
      </c>
      <c r="C30" s="218" t="s">
        <v>174</v>
      </c>
      <c r="D30" s="221"/>
      <c r="E30" s="221"/>
      <c r="F30" s="221"/>
      <c r="G30" s="221"/>
      <c r="H30" s="221"/>
      <c r="I30" s="150"/>
      <c r="J30" s="150"/>
      <c r="K30" s="150"/>
      <c r="L30" s="150"/>
    </row>
    <row r="31" spans="2:12" ht="22" x14ac:dyDescent="0.3">
      <c r="B31" s="222" t="s">
        <v>180</v>
      </c>
      <c r="C31" s="218" t="s">
        <v>173</v>
      </c>
      <c r="D31" s="221"/>
      <c r="E31" s="221"/>
      <c r="F31" s="221"/>
      <c r="G31" s="221"/>
      <c r="H31" s="221"/>
      <c r="I31" s="150"/>
      <c r="J31" s="150"/>
      <c r="K31" s="150"/>
      <c r="L31" s="150"/>
    </row>
    <row r="32" spans="2:12" ht="22" x14ac:dyDescent="0.3">
      <c r="B32" s="222" t="s">
        <v>181</v>
      </c>
      <c r="C32" s="218" t="s">
        <v>217</v>
      </c>
      <c r="D32" s="221"/>
      <c r="E32" s="221"/>
      <c r="F32" s="221"/>
      <c r="G32" s="221"/>
      <c r="H32" s="221"/>
      <c r="I32" s="150"/>
      <c r="J32" s="150"/>
      <c r="K32" s="150"/>
      <c r="L32" s="150"/>
    </row>
    <row r="33" spans="2:16" ht="22" x14ac:dyDescent="0.3">
      <c r="B33" s="220"/>
      <c r="C33" s="219"/>
      <c r="D33" s="150"/>
      <c r="E33" s="150"/>
      <c r="F33" s="150"/>
      <c r="G33" s="150"/>
      <c r="H33" s="150"/>
      <c r="I33" s="150"/>
      <c r="J33" s="150"/>
      <c r="K33" s="150"/>
      <c r="L33" s="150"/>
    </row>
    <row r="37" spans="2:16" ht="32" x14ac:dyDescent="0.4">
      <c r="B37" s="215" t="s">
        <v>165</v>
      </c>
      <c r="C37" s="217"/>
      <c r="D37" s="217"/>
      <c r="E37" s="217"/>
      <c r="F37" s="217"/>
      <c r="G37" s="217"/>
      <c r="H37" s="217"/>
      <c r="I37" s="217"/>
      <c r="J37" s="217"/>
      <c r="K37" s="217"/>
      <c r="L37" s="217"/>
    </row>
    <row r="39" spans="2:16" ht="17" customHeight="1" x14ac:dyDescent="0.2">
      <c r="B39" s="1" t="s">
        <v>171</v>
      </c>
      <c r="I39" s="1" t="s">
        <v>172</v>
      </c>
    </row>
    <row r="40" spans="2:16" ht="15" customHeight="1" x14ac:dyDescent="0.2">
      <c r="B40" s="38"/>
      <c r="C40" s="38"/>
      <c r="D40" s="38"/>
      <c r="E40" s="38"/>
      <c r="F40" s="38"/>
      <c r="G40" s="38"/>
      <c r="H40" s="38"/>
      <c r="I40" s="120" t="s">
        <v>140</v>
      </c>
      <c r="J40" s="121"/>
      <c r="K40" s="122">
        <v>8.8200000000000001E-2</v>
      </c>
      <c r="L40" s="38"/>
      <c r="O40" s="105"/>
      <c r="P40" s="105"/>
    </row>
    <row r="41" spans="2:16" x14ac:dyDescent="0.2">
      <c r="B41" s="55">
        <v>3</v>
      </c>
      <c r="I41" s="116" t="s">
        <v>139</v>
      </c>
      <c r="J41" s="38"/>
      <c r="K41" s="225">
        <v>2.5000000000000001E-2</v>
      </c>
      <c r="O41" s="105"/>
      <c r="P41" s="105"/>
    </row>
    <row r="42" spans="2:16" x14ac:dyDescent="0.2">
      <c r="I42" s="123" t="s">
        <v>208</v>
      </c>
      <c r="K42" s="235">
        <v>16.52</v>
      </c>
    </row>
    <row r="43" spans="2:16" x14ac:dyDescent="0.2">
      <c r="I43" s="123" t="s">
        <v>151</v>
      </c>
      <c r="K43" s="124">
        <f>Model!D171</f>
        <v>62723</v>
      </c>
    </row>
    <row r="44" spans="2:16" ht="22" x14ac:dyDescent="0.3">
      <c r="F44" s="14"/>
      <c r="I44" s="125" t="s">
        <v>142</v>
      </c>
      <c r="J44" s="126"/>
      <c r="K44" s="127">
        <v>14860</v>
      </c>
    </row>
    <row r="45" spans="2:16" ht="22" x14ac:dyDescent="0.3">
      <c r="F45" s="14"/>
    </row>
    <row r="46" spans="2:16" ht="22" x14ac:dyDescent="0.3">
      <c r="F46" s="14"/>
    </row>
    <row r="47" spans="2:16" ht="22" x14ac:dyDescent="0.3">
      <c r="B47" s="307" t="s">
        <v>161</v>
      </c>
      <c r="C47" s="307"/>
      <c r="D47" s="307"/>
      <c r="E47" s="307"/>
      <c r="F47" s="307"/>
      <c r="H47" s="307" t="s">
        <v>163</v>
      </c>
      <c r="I47" s="307"/>
      <c r="J47" s="307"/>
      <c r="K47" s="307"/>
      <c r="L47" s="307"/>
    </row>
    <row r="48" spans="2:16" ht="22" x14ac:dyDescent="0.3">
      <c r="F48" s="14"/>
    </row>
    <row r="49" spans="2:19" x14ac:dyDescent="0.2">
      <c r="B49" s="38"/>
      <c r="C49" s="38"/>
      <c r="D49" s="38"/>
      <c r="E49" s="38"/>
      <c r="F49" s="38"/>
      <c r="G49" s="38"/>
      <c r="H49" s="38"/>
      <c r="I49" s="38"/>
      <c r="J49" s="38"/>
      <c r="K49" s="38"/>
      <c r="L49" s="38"/>
      <c r="M49" s="39"/>
      <c r="N49" s="105"/>
      <c r="O49" s="105"/>
      <c r="S49" s="39"/>
    </row>
    <row r="50" spans="2:19" ht="34" x14ac:dyDescent="0.2">
      <c r="B50" s="38"/>
      <c r="C50" s="38"/>
      <c r="D50" s="134" t="s">
        <v>147</v>
      </c>
      <c r="E50" s="134" t="s">
        <v>152</v>
      </c>
      <c r="F50" s="134" t="s">
        <v>166</v>
      </c>
      <c r="G50" s="38"/>
      <c r="H50" s="38"/>
      <c r="I50" s="38"/>
      <c r="J50" s="134" t="s">
        <v>147</v>
      </c>
      <c r="K50" s="134" t="s">
        <v>152</v>
      </c>
      <c r="L50" s="134" t="s">
        <v>166</v>
      </c>
      <c r="M50" s="39"/>
      <c r="N50" s="105"/>
      <c r="O50" s="105"/>
    </row>
    <row r="51" spans="2:19" x14ac:dyDescent="0.2">
      <c r="B51" s="38"/>
      <c r="C51" s="38"/>
      <c r="D51" s="112">
        <f>Model!D173</f>
        <v>2710540.7362498241</v>
      </c>
      <c r="E51" s="38"/>
      <c r="F51" s="38"/>
      <c r="G51" s="38"/>
      <c r="H51" s="111"/>
      <c r="I51" s="38"/>
      <c r="J51" s="112">
        <f>Model!D197</f>
        <v>3267528.9166828562</v>
      </c>
      <c r="K51" s="38"/>
      <c r="L51" s="38"/>
      <c r="M51" s="39"/>
    </row>
    <row r="52" spans="2:19" x14ac:dyDescent="0.2">
      <c r="B52" s="3" t="s">
        <v>83</v>
      </c>
      <c r="C52" s="112">
        <v>1</v>
      </c>
      <c r="D52" s="115">
        <f t="dataTable" ref="D52:D54" dt2D="0" dtr="0" r1="B41" ca="1"/>
        <v>1997022.9316655251</v>
      </c>
      <c r="E52" s="301">
        <f>$D52-$K$43</f>
        <v>1934299.9316655251</v>
      </c>
      <c r="F52" s="302">
        <f>E52/$K$44</f>
        <v>130.16823227897208</v>
      </c>
      <c r="G52" s="38"/>
      <c r="H52" s="38" t="s">
        <v>83</v>
      </c>
      <c r="I52" s="112">
        <v>1</v>
      </c>
      <c r="J52" s="115">
        <f t="dataTable" ref="J52:J54" dt2D="0" dtr="0" r1="B41" ca="1"/>
        <v>2388102.7946945787</v>
      </c>
      <c r="K52" s="301">
        <f>J52-$K$43</f>
        <v>2325379.7946945787</v>
      </c>
      <c r="L52" s="302">
        <f>K52/$K$44</f>
        <v>156.48585428631083</v>
      </c>
      <c r="M52" s="39"/>
    </row>
    <row r="53" spans="2:19" x14ac:dyDescent="0.2">
      <c r="B53" s="3" t="s">
        <v>86</v>
      </c>
      <c r="C53" s="112">
        <v>2</v>
      </c>
      <c r="D53" s="118">
        <v>2268933.732956103</v>
      </c>
      <c r="E53" s="303">
        <f t="shared" ref="E53:E54" si="0">$D53-$K$43</f>
        <v>2206210.732956103</v>
      </c>
      <c r="F53" s="304">
        <f t="shared" ref="F53:F54" si="1">E53/$K$44</f>
        <v>148.46640194859376</v>
      </c>
      <c r="G53" s="38"/>
      <c r="H53" s="38" t="s">
        <v>86</v>
      </c>
      <c r="I53" s="112">
        <v>2</v>
      </c>
      <c r="J53" s="118">
        <v>2723235.8582135076</v>
      </c>
      <c r="K53" s="303">
        <f t="shared" ref="K53:K54" si="2">J53-$K$43</f>
        <v>2660512.8582135076</v>
      </c>
      <c r="L53" s="304">
        <f t="shared" ref="L53:L54" si="3">K53/$K$44</f>
        <v>179.03855035084169</v>
      </c>
      <c r="M53" s="39"/>
    </row>
    <row r="54" spans="2:19" x14ac:dyDescent="0.2">
      <c r="B54" s="3" t="s">
        <v>84</v>
      </c>
      <c r="C54" s="112">
        <v>3</v>
      </c>
      <c r="D54" s="117">
        <v>2710540.7362498241</v>
      </c>
      <c r="E54" s="305">
        <f t="shared" si="0"/>
        <v>2647817.7362498241</v>
      </c>
      <c r="F54" s="306">
        <f t="shared" si="1"/>
        <v>178.18423527926137</v>
      </c>
      <c r="G54" s="38"/>
      <c r="H54" s="38" t="s">
        <v>84</v>
      </c>
      <c r="I54" s="112">
        <v>3</v>
      </c>
      <c r="J54" s="117">
        <v>3267528.9166828562</v>
      </c>
      <c r="K54" s="305">
        <f t="shared" si="2"/>
        <v>3204805.9166828562</v>
      </c>
      <c r="L54" s="306">
        <f t="shared" si="3"/>
        <v>215.66661619669287</v>
      </c>
      <c r="M54" s="39"/>
    </row>
    <row r="55" spans="2:19" ht="22" x14ac:dyDescent="0.3">
      <c r="B55" s="28"/>
      <c r="C55" s="28"/>
      <c r="D55" s="28"/>
      <c r="E55" s="131"/>
      <c r="F55" s="130"/>
      <c r="G55" s="28"/>
      <c r="H55" s="28"/>
      <c r="I55" s="131"/>
      <c r="J55" s="130"/>
      <c r="K55" s="28"/>
      <c r="L55" s="28"/>
      <c r="M55" s="39"/>
    </row>
    <row r="56" spans="2:19" x14ac:dyDescent="0.2">
      <c r="B56" s="114"/>
      <c r="C56" s="114"/>
      <c r="D56" s="114"/>
      <c r="E56" s="128"/>
      <c r="F56" s="129"/>
      <c r="G56" s="114"/>
      <c r="H56" s="114"/>
      <c r="I56" s="128"/>
      <c r="J56" s="129"/>
      <c r="K56" s="114"/>
      <c r="L56" s="114"/>
      <c r="M56" s="39"/>
      <c r="O56" s="105"/>
      <c r="P56" s="105"/>
    </row>
    <row r="57" spans="2:19" ht="24" x14ac:dyDescent="0.3">
      <c r="B57" s="300" t="s">
        <v>228</v>
      </c>
      <c r="C57" s="298"/>
      <c r="D57" s="298"/>
      <c r="E57" s="298"/>
      <c r="F57" s="299"/>
      <c r="G57" s="298"/>
      <c r="H57" s="298"/>
      <c r="I57" s="298"/>
      <c r="J57" s="299"/>
      <c r="K57" s="298"/>
      <c r="L57" s="298"/>
      <c r="M57" s="39"/>
    </row>
    <row r="58" spans="2:19" x14ac:dyDescent="0.2">
      <c r="B58" s="113"/>
      <c r="C58" s="113"/>
      <c r="D58" s="113"/>
      <c r="E58" s="113"/>
      <c r="F58" s="213"/>
      <c r="G58" s="113"/>
      <c r="H58" s="113"/>
      <c r="I58" s="113"/>
      <c r="J58" s="213"/>
      <c r="K58" s="113"/>
      <c r="L58" s="113"/>
      <c r="M58" s="108"/>
      <c r="N58" s="108"/>
      <c r="O58" s="108"/>
      <c r="P58" s="108"/>
      <c r="Q58" s="108"/>
    </row>
    <row r="59" spans="2:19" x14ac:dyDescent="0.2">
      <c r="B59" s="38"/>
      <c r="C59" s="38"/>
      <c r="D59" s="38"/>
      <c r="E59" s="38"/>
      <c r="F59" s="106"/>
      <c r="G59" s="38"/>
      <c r="H59" s="38"/>
      <c r="I59" s="38"/>
      <c r="J59" s="106"/>
      <c r="K59" s="38"/>
      <c r="L59" s="38"/>
      <c r="M59" s="108"/>
      <c r="N59" s="108"/>
      <c r="O59" s="108" t="s">
        <v>169</v>
      </c>
      <c r="P59" s="108" t="s">
        <v>170</v>
      </c>
      <c r="Q59" s="108"/>
    </row>
    <row r="60" spans="2:19" x14ac:dyDescent="0.2">
      <c r="B60" s="38"/>
      <c r="C60" s="38"/>
      <c r="D60" s="38"/>
      <c r="E60" s="38"/>
      <c r="F60" s="106"/>
      <c r="G60" s="38"/>
      <c r="H60" s="38"/>
      <c r="I60" s="38"/>
      <c r="J60" s="106"/>
      <c r="K60" s="38"/>
      <c r="L60" s="38"/>
      <c r="M60" s="108"/>
      <c r="N60" s="108" t="s">
        <v>167</v>
      </c>
      <c r="O60" s="107">
        <f>O66</f>
        <v>130.16823227897208</v>
      </c>
      <c r="P60" s="107">
        <f>O68-O66</f>
        <v>48.016003000289288</v>
      </c>
      <c r="Q60" s="108"/>
    </row>
    <row r="61" spans="2:19" x14ac:dyDescent="0.2">
      <c r="B61" s="38"/>
      <c r="C61" s="38"/>
      <c r="D61" s="38"/>
      <c r="E61" s="38"/>
      <c r="F61" s="106"/>
      <c r="G61" s="38"/>
      <c r="H61" s="38"/>
      <c r="I61" s="38"/>
      <c r="J61" s="106"/>
      <c r="K61" s="38"/>
      <c r="L61" s="38"/>
      <c r="M61" s="108"/>
      <c r="N61" s="108" t="s">
        <v>168</v>
      </c>
      <c r="O61" s="107">
        <f>O72</f>
        <v>156.48585428631083</v>
      </c>
      <c r="P61" s="107">
        <f>O74-O72</f>
        <v>59.180761910382046</v>
      </c>
      <c r="Q61" s="108"/>
    </row>
    <row r="62" spans="2:19" x14ac:dyDescent="0.2">
      <c r="B62" s="38"/>
      <c r="C62" s="38"/>
      <c r="D62" s="38"/>
      <c r="E62" s="38"/>
      <c r="F62" s="106"/>
      <c r="G62" s="38"/>
      <c r="H62" s="38"/>
      <c r="I62" s="38"/>
      <c r="J62" s="106"/>
      <c r="K62" s="38"/>
      <c r="L62" s="38"/>
      <c r="M62" s="108"/>
      <c r="N62" s="108"/>
      <c r="O62" s="108"/>
      <c r="P62" s="108"/>
      <c r="Q62" s="108"/>
    </row>
    <row r="63" spans="2:19" x14ac:dyDescent="0.2">
      <c r="B63" s="38"/>
      <c r="C63" s="38"/>
      <c r="D63" s="38"/>
      <c r="E63" s="38"/>
      <c r="F63" s="106"/>
      <c r="G63" s="38"/>
      <c r="H63" s="38"/>
      <c r="I63" s="38"/>
      <c r="J63" s="106"/>
      <c r="K63" s="38"/>
      <c r="L63" s="38"/>
      <c r="M63" s="108"/>
      <c r="N63" s="108"/>
      <c r="O63" s="108"/>
      <c r="P63" s="108"/>
      <c r="Q63" s="108"/>
    </row>
    <row r="64" spans="2:19" x14ac:dyDescent="0.2">
      <c r="B64" s="38"/>
      <c r="C64" s="38"/>
      <c r="D64" s="38"/>
      <c r="E64" s="38"/>
      <c r="F64" s="106"/>
      <c r="G64" s="38"/>
      <c r="H64" s="38"/>
      <c r="I64" s="38"/>
      <c r="J64" s="106"/>
      <c r="K64" s="38"/>
      <c r="L64" s="38"/>
      <c r="M64" s="108"/>
      <c r="N64" s="108"/>
      <c r="O64" s="107" t="s">
        <v>227</v>
      </c>
      <c r="P64" s="107"/>
      <c r="Q64" s="108"/>
    </row>
    <row r="65" spans="2:20" x14ac:dyDescent="0.2">
      <c r="B65" s="38"/>
      <c r="C65" s="38"/>
      <c r="D65" s="38"/>
      <c r="E65" s="38"/>
      <c r="F65" s="106"/>
      <c r="G65" s="38"/>
      <c r="H65" s="38"/>
      <c r="I65" s="38"/>
      <c r="J65" s="106"/>
      <c r="K65" s="38"/>
      <c r="L65" s="38"/>
      <c r="M65" s="108"/>
      <c r="N65" s="107"/>
      <c r="O65" s="107">
        <f>Model!J178</f>
        <v>178.18423527926137</v>
      </c>
      <c r="P65" s="108"/>
      <c r="Q65" s="108"/>
      <c r="T65" s="105"/>
    </row>
    <row r="66" spans="2:20" x14ac:dyDescent="0.2">
      <c r="B66" s="38"/>
      <c r="C66" s="38"/>
      <c r="D66" s="38"/>
      <c r="E66" s="38"/>
      <c r="F66" s="106"/>
      <c r="G66" s="38"/>
      <c r="H66" s="38"/>
      <c r="I66" s="38"/>
      <c r="J66" s="106"/>
      <c r="K66" s="38"/>
      <c r="L66" s="38"/>
      <c r="M66" s="108"/>
      <c r="N66" s="108">
        <v>1</v>
      </c>
      <c r="O66" s="107">
        <f t="dataTable" ref="O66:O68" dt2D="0" dtr="0" r1="B41" ca="1"/>
        <v>130.16823227897208</v>
      </c>
      <c r="P66" s="108"/>
      <c r="Q66" s="108"/>
    </row>
    <row r="67" spans="2:20" x14ac:dyDescent="0.2">
      <c r="B67" s="38"/>
      <c r="C67" s="38"/>
      <c r="D67" s="38"/>
      <c r="E67" s="38"/>
      <c r="F67" s="106"/>
      <c r="G67" s="38"/>
      <c r="H67" s="38"/>
      <c r="I67" s="38"/>
      <c r="J67" s="106"/>
      <c r="K67" s="38"/>
      <c r="L67" s="38"/>
      <c r="M67" s="108"/>
      <c r="N67" s="108">
        <v>2</v>
      </c>
      <c r="O67" s="107">
        <v>148.46640194859376</v>
      </c>
      <c r="P67" s="108"/>
      <c r="Q67" s="108"/>
    </row>
    <row r="68" spans="2:20" x14ac:dyDescent="0.2">
      <c r="B68" s="38"/>
      <c r="C68" s="38"/>
      <c r="D68" s="38"/>
      <c r="E68" s="38"/>
      <c r="F68" s="106"/>
      <c r="G68" s="38"/>
      <c r="H68" s="38"/>
      <c r="I68" s="38"/>
      <c r="J68" s="106"/>
      <c r="K68" s="38"/>
      <c r="L68" s="38"/>
      <c r="M68" s="108"/>
      <c r="N68" s="108">
        <v>3</v>
      </c>
      <c r="O68" s="107">
        <v>178.18423527926137</v>
      </c>
      <c r="P68" s="108"/>
      <c r="Q68" s="108"/>
    </row>
    <row r="69" spans="2:20" x14ac:dyDescent="0.2">
      <c r="B69" s="38"/>
      <c r="C69" s="38"/>
      <c r="D69" s="38"/>
      <c r="E69" s="38"/>
      <c r="F69" s="106"/>
      <c r="G69" s="38"/>
      <c r="H69" s="38"/>
      <c r="I69" s="38"/>
      <c r="J69" s="106"/>
      <c r="K69" s="38"/>
      <c r="L69" s="38"/>
      <c r="M69" s="108"/>
      <c r="N69" s="108"/>
      <c r="O69" s="107"/>
      <c r="P69" s="108"/>
      <c r="Q69" s="108"/>
    </row>
    <row r="70" spans="2:20" x14ac:dyDescent="0.2">
      <c r="B70" s="38"/>
      <c r="C70" s="38"/>
      <c r="D70" s="38"/>
      <c r="E70" s="38"/>
      <c r="F70" s="106"/>
      <c r="G70" s="38"/>
      <c r="H70" s="38"/>
      <c r="I70" s="38"/>
      <c r="J70" s="106"/>
      <c r="K70" s="38"/>
      <c r="L70" s="38"/>
      <c r="M70" s="108"/>
      <c r="N70" s="108"/>
      <c r="O70" s="107" t="s">
        <v>226</v>
      </c>
      <c r="P70" s="108"/>
      <c r="Q70" s="108"/>
    </row>
    <row r="71" spans="2:20" x14ac:dyDescent="0.2">
      <c r="B71" s="38"/>
      <c r="C71" s="38"/>
      <c r="D71" s="38"/>
      <c r="E71" s="38"/>
      <c r="F71" s="106"/>
      <c r="G71" s="38"/>
      <c r="H71" s="38"/>
      <c r="I71" s="38"/>
      <c r="J71" s="106"/>
      <c r="K71" s="38"/>
      <c r="L71" s="38"/>
      <c r="M71" s="108"/>
      <c r="N71" s="108"/>
      <c r="O71" s="107">
        <f>Model!J201</f>
        <v>215.66661619669287</v>
      </c>
      <c r="P71" s="108"/>
      <c r="Q71" s="108"/>
      <c r="T71" s="105"/>
    </row>
    <row r="72" spans="2:20" x14ac:dyDescent="0.2">
      <c r="M72" s="108"/>
      <c r="N72" s="108">
        <v>1</v>
      </c>
      <c r="O72" s="107">
        <f t="dataTable" ref="O72:O74" dt2D="0" dtr="0" r1="B41"/>
        <v>156.48585428631083</v>
      </c>
      <c r="P72" s="108"/>
      <c r="Q72" s="108"/>
    </row>
    <row r="73" spans="2:20" x14ac:dyDescent="0.2">
      <c r="M73" s="108"/>
      <c r="N73" s="108">
        <v>2</v>
      </c>
      <c r="O73" s="107">
        <v>179.03855035084169</v>
      </c>
      <c r="P73" s="108"/>
      <c r="Q73" s="108"/>
    </row>
    <row r="74" spans="2:20" x14ac:dyDescent="0.2">
      <c r="M74" s="108"/>
      <c r="N74" s="108">
        <v>3</v>
      </c>
      <c r="O74" s="107">
        <v>215.66661619669287</v>
      </c>
      <c r="P74" s="108"/>
      <c r="Q74" s="108"/>
    </row>
    <row r="75" spans="2:20" x14ac:dyDescent="0.2">
      <c r="M75" s="108"/>
      <c r="N75" s="108"/>
      <c r="O75" s="108"/>
      <c r="P75" s="108"/>
      <c r="Q75" s="108"/>
    </row>
    <row r="76" spans="2:20" x14ac:dyDescent="0.2">
      <c r="M76" s="108"/>
      <c r="N76" s="108"/>
      <c r="O76" s="108"/>
      <c r="P76" s="108"/>
      <c r="Q76" s="108"/>
    </row>
    <row r="77" spans="2:20" x14ac:dyDescent="0.2">
      <c r="M77" s="39"/>
    </row>
    <row r="78" spans="2:20" x14ac:dyDescent="0.2">
      <c r="M78" s="39"/>
    </row>
    <row r="79" spans="2:20" x14ac:dyDescent="0.2">
      <c r="M79" s="39"/>
    </row>
    <row r="80" spans="2:20" x14ac:dyDescent="0.2">
      <c r="M80" s="39"/>
    </row>
    <row r="82" spans="2:12" ht="32" x14ac:dyDescent="0.4">
      <c r="B82" s="215" t="s">
        <v>209</v>
      </c>
      <c r="C82" s="217"/>
      <c r="D82" s="217"/>
      <c r="E82" s="217"/>
      <c r="F82" s="217"/>
      <c r="G82" s="217"/>
      <c r="H82" s="217"/>
      <c r="I82" s="217"/>
      <c r="J82" s="217"/>
      <c r="K82" s="217"/>
      <c r="L82" s="217"/>
    </row>
    <row r="85" spans="2:12" ht="24" x14ac:dyDescent="0.3">
      <c r="E85" s="14" t="s">
        <v>162</v>
      </c>
      <c r="F85" s="14"/>
      <c r="G85" s="237">
        <f>Inputs!F48</f>
        <v>271</v>
      </c>
      <c r="H85" s="236"/>
      <c r="I85" s="239" t="s">
        <v>210</v>
      </c>
      <c r="J85" s="238" t="s">
        <v>211</v>
      </c>
    </row>
    <row r="88" spans="2:12" ht="22" x14ac:dyDescent="0.3">
      <c r="B88" s="110" t="s">
        <v>161</v>
      </c>
      <c r="C88" s="109"/>
      <c r="D88" s="109"/>
      <c r="E88" s="109"/>
      <c r="F88" s="109"/>
      <c r="G88" s="109"/>
      <c r="H88" s="109"/>
      <c r="I88" s="109"/>
      <c r="J88" s="109"/>
      <c r="K88" s="109"/>
      <c r="L88" s="109"/>
    </row>
    <row r="89" spans="2:12" ht="22" x14ac:dyDescent="0.3">
      <c r="B89" s="14"/>
    </row>
    <row r="90" spans="2:12" ht="19" x14ac:dyDescent="0.25">
      <c r="B90" s="132"/>
      <c r="C90" s="132"/>
      <c r="D90" s="132"/>
      <c r="E90" s="132"/>
      <c r="F90" s="132"/>
      <c r="G90" s="9" t="s">
        <v>139</v>
      </c>
      <c r="H90" s="132"/>
      <c r="I90" s="132"/>
      <c r="J90" s="132"/>
    </row>
    <row r="91" spans="2:12" ht="19" x14ac:dyDescent="0.25">
      <c r="B91" s="132"/>
      <c r="C91" s="135">
        <f>Model!J178</f>
        <v>178.18423527926137</v>
      </c>
      <c r="D91" s="136">
        <f t="shared" ref="D91:E91" si="4">E91-0.005</f>
        <v>9.9999999999999985E-3</v>
      </c>
      <c r="E91" s="136">
        <f t="shared" si="4"/>
        <v>1.4999999999999999E-2</v>
      </c>
      <c r="F91" s="136">
        <f>G91-0.005</f>
        <v>0.02</v>
      </c>
      <c r="G91" s="137">
        <v>2.5000000000000001E-2</v>
      </c>
      <c r="H91" s="136">
        <f>G91+0.005</f>
        <v>3.0000000000000002E-2</v>
      </c>
      <c r="I91" s="136">
        <f t="shared" ref="I91:J91" si="5">H91+0.005</f>
        <v>3.5000000000000003E-2</v>
      </c>
      <c r="J91" s="136">
        <f t="shared" si="5"/>
        <v>0.04</v>
      </c>
    </row>
    <row r="92" spans="2:12" ht="19" x14ac:dyDescent="0.25">
      <c r="B92" s="132"/>
      <c r="C92" s="136">
        <f t="shared" ref="C92:C93" si="6">C93-0.01</f>
        <v>5.8200000000000009E-2</v>
      </c>
      <c r="D92" s="138">
        <f t="dataTable" ref="D92:J98" dt2D="1" dtr="1" r1="K41" r2="K40" ca="1"/>
        <v>253.92438225686089</v>
      </c>
      <c r="E92" s="139">
        <v>279.07871824598448</v>
      </c>
      <c r="F92" s="139">
        <v>310.81795894430292</v>
      </c>
      <c r="G92" s="139">
        <v>352.11721190115071</v>
      </c>
      <c r="H92" s="139">
        <v>408.06159002000152</v>
      </c>
      <c r="I92" s="139">
        <v>488.11992422456359</v>
      </c>
      <c r="J92" s="140">
        <v>612.16635414591849</v>
      </c>
    </row>
    <row r="93" spans="2:12" ht="19" x14ac:dyDescent="0.25">
      <c r="B93" s="132"/>
      <c r="C93" s="136">
        <f t="shared" si="6"/>
        <v>6.8200000000000011E-2</v>
      </c>
      <c r="D93" s="141">
        <v>207.47034894224399</v>
      </c>
      <c r="E93" s="142">
        <v>223.63520637358067</v>
      </c>
      <c r="F93" s="142">
        <v>243.15376866619056</v>
      </c>
      <c r="G93" s="142">
        <v>267.19051667468221</v>
      </c>
      <c r="H93" s="142">
        <v>297.51960709377391</v>
      </c>
      <c r="I93" s="142">
        <v>336.98396571138704</v>
      </c>
      <c r="J93" s="143">
        <v>390.44277773950148</v>
      </c>
    </row>
    <row r="94" spans="2:12" ht="19" x14ac:dyDescent="0.25">
      <c r="B94" s="132"/>
      <c r="C94" s="136">
        <f>C95-0.01</f>
        <v>7.8200000000000006E-2</v>
      </c>
      <c r="D94" s="141">
        <v>174.71877022317133</v>
      </c>
      <c r="E94" s="142">
        <v>185.81931802636043</v>
      </c>
      <c r="F94" s="142">
        <v>198.8271764486542</v>
      </c>
      <c r="G94" s="142">
        <v>214.28012104055207</v>
      </c>
      <c r="H94" s="142">
        <v>232.93907073450345</v>
      </c>
      <c r="I94" s="142">
        <v>255.91722174649902</v>
      </c>
      <c r="J94" s="143">
        <v>284.91059553650405</v>
      </c>
    </row>
    <row r="95" spans="2:12" ht="19" x14ac:dyDescent="0.25">
      <c r="B95" s="144" t="s">
        <v>140</v>
      </c>
      <c r="C95" s="137">
        <v>8.8200000000000001E-2</v>
      </c>
      <c r="D95" s="141">
        <v>150.40910717874027</v>
      </c>
      <c r="E95" s="142">
        <v>158.402677743189</v>
      </c>
      <c r="F95" s="142">
        <v>167.56832610301143</v>
      </c>
      <c r="G95" s="145">
        <v>178.18423527926137</v>
      </c>
      <c r="H95" s="142">
        <v>190.62418383287397</v>
      </c>
      <c r="I95" s="142">
        <v>205.4024685807745</v>
      </c>
      <c r="J95" s="143">
        <v>223.24678750873755</v>
      </c>
    </row>
    <row r="96" spans="2:12" ht="19" x14ac:dyDescent="0.25">
      <c r="B96" s="132"/>
      <c r="C96" s="136">
        <f>C95+0.01</f>
        <v>9.8199999999999996E-2</v>
      </c>
      <c r="D96" s="141">
        <v>131.6667750494417</v>
      </c>
      <c r="E96" s="142">
        <v>137.63231709940399</v>
      </c>
      <c r="F96" s="142">
        <v>144.36071618900345</v>
      </c>
      <c r="G96" s="142">
        <v>152.00829548210007</v>
      </c>
      <c r="H96" s="142">
        <v>160.77722071260095</v>
      </c>
      <c r="I96" s="142">
        <v>170.93363411248481</v>
      </c>
      <c r="J96" s="143">
        <v>182.83513572540718</v>
      </c>
    </row>
    <row r="97" spans="2:12" ht="19" x14ac:dyDescent="0.25">
      <c r="B97" s="132"/>
      <c r="C97" s="136">
        <f t="shared" ref="C97:C98" si="7">C96+0.01</f>
        <v>0.10819999999999999</v>
      </c>
      <c r="D97" s="141">
        <v>116.78828410032197</v>
      </c>
      <c r="E97" s="142">
        <v>121.36617087084359</v>
      </c>
      <c r="F97" s="142">
        <v>126.46309242260345</v>
      </c>
      <c r="G97" s="142">
        <v>132.17262473779601</v>
      </c>
      <c r="H97" s="142">
        <v>138.6122762748802</v>
      </c>
      <c r="I97" s="142">
        <v>145.93166162850591</v>
      </c>
      <c r="J97" s="143">
        <v>154.32427064102112</v>
      </c>
    </row>
    <row r="98" spans="2:12" ht="19" x14ac:dyDescent="0.25">
      <c r="B98" s="132"/>
      <c r="C98" s="136">
        <f t="shared" si="7"/>
        <v>0.11819999999999999</v>
      </c>
      <c r="D98" s="146">
        <v>104.70005580469643</v>
      </c>
      <c r="E98" s="147">
        <v>108.29258819192032</v>
      </c>
      <c r="F98" s="147">
        <v>112.25095890778208</v>
      </c>
      <c r="G98" s="147">
        <v>116.63404751161183</v>
      </c>
      <c r="H98" s="147">
        <v>121.51408493673748</v>
      </c>
      <c r="I98" s="147">
        <v>126.98066532161376</v>
      </c>
      <c r="J98" s="148">
        <v>133.14629690660215</v>
      </c>
    </row>
    <row r="100" spans="2:12" x14ac:dyDescent="0.2">
      <c r="B100" s="12"/>
    </row>
    <row r="101" spans="2:12" x14ac:dyDescent="0.2">
      <c r="B101" s="12"/>
    </row>
    <row r="103" spans="2:12" ht="22" x14ac:dyDescent="0.3">
      <c r="B103" s="110" t="s">
        <v>163</v>
      </c>
      <c r="C103" s="109"/>
      <c r="D103" s="109"/>
      <c r="E103" s="109"/>
      <c r="F103" s="109"/>
      <c r="G103" s="109"/>
      <c r="H103" s="109"/>
      <c r="I103" s="109"/>
      <c r="J103" s="109"/>
      <c r="K103" s="109"/>
      <c r="L103" s="109"/>
    </row>
    <row r="104" spans="2:12" ht="22" x14ac:dyDescent="0.3">
      <c r="B104" s="14"/>
    </row>
    <row r="105" spans="2:12" ht="19" x14ac:dyDescent="0.25">
      <c r="B105" s="132"/>
      <c r="C105" s="132"/>
      <c r="D105" s="132"/>
      <c r="E105" s="132"/>
      <c r="F105" s="132"/>
      <c r="G105" s="9" t="s">
        <v>164</v>
      </c>
      <c r="H105" s="132"/>
      <c r="I105" s="132"/>
      <c r="J105" s="132"/>
    </row>
    <row r="106" spans="2:12" ht="19" x14ac:dyDescent="0.25">
      <c r="B106" s="132"/>
      <c r="C106" s="133">
        <f>Model!J201</f>
        <v>215.66661619669287</v>
      </c>
      <c r="D106" s="142">
        <f t="shared" ref="D106:E106" si="8">E106-2</f>
        <v>10.52</v>
      </c>
      <c r="E106" s="142">
        <f t="shared" si="8"/>
        <v>12.52</v>
      </c>
      <c r="F106" s="142">
        <f>G106-2</f>
        <v>14.52</v>
      </c>
      <c r="G106" s="149">
        <v>16.52</v>
      </c>
      <c r="H106" s="142">
        <f>G106+2</f>
        <v>18.52</v>
      </c>
      <c r="I106" s="142">
        <f t="shared" ref="I106:J106" si="9">H106+2</f>
        <v>20.52</v>
      </c>
      <c r="J106" s="142">
        <f t="shared" si="9"/>
        <v>22.52</v>
      </c>
    </row>
    <row r="107" spans="2:12" ht="19" x14ac:dyDescent="0.25">
      <c r="B107" s="132"/>
      <c r="C107" s="136">
        <f t="shared" ref="C107:C108" si="10">C108-0.01</f>
        <v>5.8200000000000009E-2</v>
      </c>
      <c r="D107" s="138">
        <f t="dataTable" ref="D107:J113" dt2D="1" dtr="1" r1="K42" r2="K40" ca="1"/>
        <v>185.21792463115025</v>
      </c>
      <c r="E107" s="139">
        <v>209.46080031398733</v>
      </c>
      <c r="F107" s="139">
        <v>233.70367599682447</v>
      </c>
      <c r="G107" s="139">
        <v>257.94655167966158</v>
      </c>
      <c r="H107" s="139">
        <v>282.18942736249869</v>
      </c>
      <c r="I107" s="139">
        <v>306.43230304533586</v>
      </c>
      <c r="J107" s="140">
        <v>330.67517872817291</v>
      </c>
    </row>
    <row r="108" spans="2:12" ht="19" x14ac:dyDescent="0.25">
      <c r="B108" s="132"/>
      <c r="C108" s="136">
        <f t="shared" si="10"/>
        <v>6.8200000000000011E-2</v>
      </c>
      <c r="D108" s="141">
        <v>174.73532948818936</v>
      </c>
      <c r="E108" s="142">
        <v>197.43347727572691</v>
      </c>
      <c r="F108" s="142">
        <v>220.13162506326458</v>
      </c>
      <c r="G108" s="142">
        <v>242.82977285080219</v>
      </c>
      <c r="H108" s="142">
        <v>265.52792063833976</v>
      </c>
      <c r="I108" s="142">
        <v>288.22606842587737</v>
      </c>
      <c r="J108" s="143">
        <v>310.92421621341498</v>
      </c>
    </row>
    <row r="109" spans="2:12" ht="19" x14ac:dyDescent="0.25">
      <c r="B109" s="132"/>
      <c r="C109" s="136">
        <f>C110-0.01</f>
        <v>7.8200000000000006E-2</v>
      </c>
      <c r="D109" s="141">
        <v>164.96943203616152</v>
      </c>
      <c r="E109" s="142">
        <v>186.23432212630982</v>
      </c>
      <c r="F109" s="142">
        <v>207.49921221645812</v>
      </c>
      <c r="G109" s="142">
        <v>228.76410230660636</v>
      </c>
      <c r="H109" s="142">
        <v>250.02899239675469</v>
      </c>
      <c r="I109" s="142">
        <v>271.29388248690293</v>
      </c>
      <c r="J109" s="143">
        <v>292.55877257705123</v>
      </c>
    </row>
    <row r="110" spans="2:12" ht="19" x14ac:dyDescent="0.25">
      <c r="B110" s="9" t="s">
        <v>140</v>
      </c>
      <c r="C110" s="137">
        <v>8.8200000000000001E-2</v>
      </c>
      <c r="D110" s="141">
        <v>155.8642127514685</v>
      </c>
      <c r="E110" s="142">
        <v>175.79834723320994</v>
      </c>
      <c r="F110" s="142">
        <v>195.7324817149514</v>
      </c>
      <c r="G110" s="145">
        <v>215.66661619669287</v>
      </c>
      <c r="H110" s="142">
        <v>235.60075067843434</v>
      </c>
      <c r="I110" s="142">
        <v>255.5348851601758</v>
      </c>
      <c r="J110" s="143">
        <v>275.46901964191727</v>
      </c>
    </row>
    <row r="111" spans="2:12" ht="19" x14ac:dyDescent="0.25">
      <c r="B111" s="132"/>
      <c r="C111" s="136">
        <f>C110+0.01</f>
        <v>9.8199999999999996E-2</v>
      </c>
      <c r="D111" s="141">
        <v>147.36852641419594</v>
      </c>
      <c r="E111" s="142">
        <v>166.0662338124703</v>
      </c>
      <c r="F111" s="142">
        <v>184.76394121074469</v>
      </c>
      <c r="G111" s="142">
        <v>203.46164860901905</v>
      </c>
      <c r="H111" s="142">
        <v>222.15935600729347</v>
      </c>
      <c r="I111" s="142">
        <v>240.8570634055678</v>
      </c>
      <c r="J111" s="143">
        <v>259.55477080384219</v>
      </c>
    </row>
    <row r="112" spans="2:12" ht="19" x14ac:dyDescent="0.25">
      <c r="B112" s="132"/>
      <c r="C112" s="136">
        <f t="shared" ref="C112:C113" si="11">C111+0.01</f>
        <v>0.10819999999999999</v>
      </c>
      <c r="D112" s="141">
        <v>139.43563706524677</v>
      </c>
      <c r="E112" s="142">
        <v>156.98379013533895</v>
      </c>
      <c r="F112" s="142">
        <v>174.53194320543116</v>
      </c>
      <c r="G112" s="142">
        <v>192.0800962755234</v>
      </c>
      <c r="H112" s="142">
        <v>209.62824934561561</v>
      </c>
      <c r="I112" s="142">
        <v>227.1764024157078</v>
      </c>
      <c r="J112" s="143">
        <v>244.72455548580007</v>
      </c>
    </row>
    <row r="113" spans="2:12" ht="19" x14ac:dyDescent="0.25">
      <c r="B113" s="132"/>
      <c r="C113" s="136">
        <f t="shared" si="11"/>
        <v>0.11819999999999999</v>
      </c>
      <c r="D113" s="146">
        <v>132.022801103245</v>
      </c>
      <c r="E113" s="147">
        <v>148.5014658918071</v>
      </c>
      <c r="F113" s="147">
        <v>164.9801306803692</v>
      </c>
      <c r="G113" s="147">
        <v>181.45879546893133</v>
      </c>
      <c r="H113" s="147">
        <v>197.93746025749343</v>
      </c>
      <c r="I113" s="147">
        <v>214.41612504605556</v>
      </c>
      <c r="J113" s="148">
        <v>230.89478983461768</v>
      </c>
    </row>
    <row r="114" spans="2:12" x14ac:dyDescent="0.2">
      <c r="B114" s="109"/>
      <c r="C114" s="109"/>
      <c r="D114" s="109"/>
      <c r="E114" s="109"/>
      <c r="F114" s="109"/>
      <c r="G114" s="109"/>
      <c r="H114" s="109"/>
      <c r="I114" s="109"/>
      <c r="J114" s="109"/>
      <c r="K114" s="109"/>
      <c r="L114" s="109"/>
    </row>
    <row r="117" spans="2:12" ht="19" x14ac:dyDescent="0.25">
      <c r="B117" s="293" t="s">
        <v>218</v>
      </c>
      <c r="C117" s="109"/>
      <c r="H117" s="293" t="s">
        <v>219</v>
      </c>
      <c r="I117" s="109"/>
    </row>
    <row r="118" spans="2:12" ht="19" x14ac:dyDescent="0.25">
      <c r="B118" s="13"/>
      <c r="H118" s="13"/>
    </row>
    <row r="119" spans="2:12" ht="17" thickBot="1" x14ac:dyDescent="0.25">
      <c r="F119" s="33" t="s">
        <v>1</v>
      </c>
      <c r="G119" s="33" t="s">
        <v>2</v>
      </c>
      <c r="H119" s="33" t="s">
        <v>3</v>
      </c>
      <c r="I119" s="33" t="s">
        <v>4</v>
      </c>
      <c r="J119" s="33" t="s">
        <v>5</v>
      </c>
      <c r="K119" s="33" t="s">
        <v>6</v>
      </c>
    </row>
    <row r="121" spans="2:12" x14ac:dyDescent="0.2">
      <c r="B121" s="43" t="s">
        <v>220</v>
      </c>
      <c r="C121" s="42"/>
      <c r="D121" s="294">
        <f>(Model!N15/Model!I15)^(1/5)-1</f>
        <v>8.5288496055328178E-2</v>
      </c>
      <c r="F121" s="1" t="s">
        <v>224</v>
      </c>
    </row>
    <row r="122" spans="2:12" x14ac:dyDescent="0.2">
      <c r="B122" s="44" t="s">
        <v>221</v>
      </c>
      <c r="C122" s="12"/>
      <c r="D122" s="295">
        <f>(Model!N153/Model!I153)^(1/5)-1</f>
        <v>0.10233092807951527</v>
      </c>
      <c r="F122" s="292">
        <f>IF(Model!I57=Model!I84,1,0)</f>
        <v>1</v>
      </c>
      <c r="G122" s="292">
        <f>IF(Model!J57=Model!J84,1,0)</f>
        <v>1</v>
      </c>
      <c r="H122" s="292">
        <f>IF(Model!K57=Model!K84,1,0)</f>
        <v>1</v>
      </c>
      <c r="I122" s="292">
        <f>IF(Model!L57=Model!L84,1,0)</f>
        <v>1</v>
      </c>
      <c r="J122" s="292">
        <f>IF(Model!M57=Model!M84,1,0)</f>
        <v>1</v>
      </c>
      <c r="K122" s="292">
        <f>IF(Model!N57=Model!N84,1,0)</f>
        <v>1</v>
      </c>
    </row>
    <row r="123" spans="2:12" x14ac:dyDescent="0.2">
      <c r="B123" s="44" t="s">
        <v>222</v>
      </c>
      <c r="D123" s="296">
        <f>(Model!O169/(1+Model!D164)^6)/Model!D173</f>
        <v>0.75869715403140203</v>
      </c>
    </row>
    <row r="124" spans="2:12" x14ac:dyDescent="0.2">
      <c r="B124" s="45" t="s">
        <v>223</v>
      </c>
      <c r="C124" s="41"/>
      <c r="D124" s="297">
        <f>Outputs!K40-Outputs!K41</f>
        <v>6.3200000000000006E-2</v>
      </c>
      <c r="F124" s="1" t="s">
        <v>225</v>
      </c>
    </row>
    <row r="125" spans="2:12" x14ac:dyDescent="0.2">
      <c r="F125" s="292">
        <f>IF((Model!I45-Model!H45)=Model!I134,1,0)</f>
        <v>1</v>
      </c>
      <c r="G125" s="292">
        <f>IF((Model!J45-Model!I45)=Model!J134,1,0)</f>
        <v>1</v>
      </c>
      <c r="H125" s="292">
        <f>IF((Model!K45-Model!J45)=Model!K134,1,0)</f>
        <v>1</v>
      </c>
      <c r="I125" s="292">
        <f>IF((Model!L45-Model!K45)=Model!L134,1,0)</f>
        <v>1</v>
      </c>
      <c r="J125" s="292">
        <f>IF((Model!M45-Model!L45)=Model!M134,1,0)</f>
        <v>1</v>
      </c>
      <c r="K125" s="292">
        <f>IF((Model!N45-Model!M45)=Model!N134,1,0)</f>
        <v>1</v>
      </c>
    </row>
  </sheetData>
  <mergeCells count="2">
    <mergeCell ref="H47:L47"/>
    <mergeCell ref="B47:F47"/>
  </mergeCells>
  <conditionalFormatting sqref="D123">
    <cfRule type="cellIs" dxfId="11" priority="6" operator="lessThan">
      <formula>0.7</formula>
    </cfRule>
    <cfRule type="cellIs" dxfId="10" priority="7" operator="greaterThan">
      <formula>0.8</formula>
    </cfRule>
    <cfRule type="cellIs" dxfId="9" priority="8" operator="between">
      <formula>0.7</formula>
      <formula>0.8</formula>
    </cfRule>
  </conditionalFormatting>
  <conditionalFormatting sqref="D124">
    <cfRule type="cellIs" dxfId="8" priority="3" operator="between">
      <formula>0.04</formula>
      <formula>0.05</formula>
    </cfRule>
    <cfRule type="cellIs" dxfId="7" priority="4" operator="lessThan">
      <formula>0.04</formula>
    </cfRule>
    <cfRule type="cellIs" dxfId="6" priority="5" operator="greaterThan">
      <formula>0.05</formula>
    </cfRule>
  </conditionalFormatting>
  <conditionalFormatting sqref="F122:K122 F125:K125">
    <cfRule type="cellIs" dxfId="3" priority="1" operator="equal">
      <formula>1</formula>
    </cfRule>
    <cfRule type="cellIs" dxfId="2" priority="2" operator="lessThan">
      <formula>1</formula>
    </cfRule>
  </conditionalFormatting>
  <conditionalFormatting sqref="H85:I85">
    <cfRule type="containsText" dxfId="1" priority="9" operator="containsText" text="BUY">
      <formula>NOT(ISERROR(SEARCH("BUY",H85)))</formula>
    </cfRule>
  </conditionalFormatting>
  <conditionalFormatting sqref="J85">
    <cfRule type="containsText" dxfId="0" priority="10" operator="containsText" text="SELL">
      <formula>NOT(ISERROR(SEARCH("SELL",J85)))</formula>
    </cfRule>
  </conditionalFormatting>
  <pageMargins left="0.7" right="0.7" top="0.75" bottom="0.75" header="0.3" footer="0.3"/>
  <pageSetup paperSize="9" scale="46" fitToHeight="0"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8193" r:id="rId3" name="Drop Down 1">
              <controlPr defaultSize="0" autoLine="0" autoPict="0">
                <anchor moveWithCells="1">
                  <from>
                    <xdr:col>1</xdr:col>
                    <xdr:colOff>0</xdr:colOff>
                    <xdr:row>40</xdr:row>
                    <xdr:rowOff>12700</xdr:rowOff>
                  </from>
                  <to>
                    <xdr:col>3</xdr:col>
                    <xdr:colOff>673100</xdr:colOff>
                    <xdr:row>42</xdr:row>
                    <xdr:rowOff>177800</xdr:rowOff>
                  </to>
                </anchor>
              </controlPr>
            </control>
          </mc:Choice>
        </mc:AlternateContent>
        <mc:AlternateContent xmlns:mc="http://schemas.openxmlformats.org/markup-compatibility/2006">
          <mc:Choice Requires="x14">
            <control shapeId="8194" r:id="rId4" name="Drop Down 2">
              <controlPr defaultSize="0" autoLine="0" autoPict="0">
                <anchor moveWithCells="1">
                  <from>
                    <xdr:col>1</xdr:col>
                    <xdr:colOff>38100</xdr:colOff>
                    <xdr:row>83</xdr:row>
                    <xdr:rowOff>38100</xdr:rowOff>
                  </from>
                  <to>
                    <xdr:col>3</xdr:col>
                    <xdr:colOff>152400</xdr:colOff>
                    <xdr:row>85</xdr:row>
                    <xdr:rowOff>127000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ellIs" priority="12" operator="lessThan" id="{B363B571-7739-C441-961E-A771B0ACB00A}">
            <xm:f>Inputs!$F$48</xm:f>
            <x14:dxf>
              <font>
                <color rgb="FF9C0006"/>
              </font>
              <fill>
                <patternFill>
                  <bgColor rgb="FFFFC7CE"/>
                </patternFill>
              </fill>
            </x14:dxf>
          </x14:cfRule>
          <x14:cfRule type="cellIs" priority="13" operator="greaterThan" id="{E8FED2A2-3622-6E46-8D06-735B2BE35110}">
            <xm:f>Inputs!$F$48</xm:f>
            <x14:dxf>
              <font>
                <color rgb="FF006100"/>
              </font>
              <fill>
                <patternFill>
                  <bgColor rgb="FFC6EFCE"/>
                </patternFill>
              </fill>
            </x14:dxf>
          </x14:cfRule>
          <xm:sqref>D92:J98 D107:J113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7477-1A9E-8C4D-8CFF-84C5E665D8B2}">
  <sheetPr>
    <pageSetUpPr fitToPage="1"/>
  </sheetPr>
  <dimension ref="A3:O101"/>
  <sheetViews>
    <sheetView showGridLines="0" zoomScale="61" zoomScaleNormal="75" workbookViewId="0">
      <selection activeCell="T26" sqref="T26"/>
    </sheetView>
  </sheetViews>
  <sheetFormatPr baseColWidth="10" defaultRowHeight="16" x14ac:dyDescent="0.2"/>
  <cols>
    <col min="1" max="16384" width="10.83203125" style="1"/>
  </cols>
  <sheetData>
    <row r="3" spans="1:15" ht="32" x14ac:dyDescent="0.4">
      <c r="B3" s="216" t="s">
        <v>175</v>
      </c>
      <c r="C3" s="216"/>
      <c r="D3" s="216"/>
      <c r="E3" s="216"/>
      <c r="F3" s="216"/>
      <c r="G3" s="216"/>
      <c r="H3" s="216"/>
      <c r="I3" s="216"/>
      <c r="J3" s="216"/>
      <c r="K3" s="216"/>
      <c r="L3" s="216"/>
      <c r="M3" s="216"/>
      <c r="N3" s="216"/>
      <c r="O3" s="216"/>
    </row>
    <row r="5" spans="1:15" ht="24" x14ac:dyDescent="0.3">
      <c r="B5" s="57" t="s">
        <v>82</v>
      </c>
      <c r="C5" s="55"/>
      <c r="D5" s="55"/>
      <c r="E5" s="55"/>
      <c r="F5" s="55"/>
      <c r="G5" s="55"/>
      <c r="H5" s="55"/>
      <c r="I5" s="55"/>
      <c r="J5" s="55"/>
      <c r="K5" s="55"/>
      <c r="L5" s="55"/>
      <c r="M5" s="55"/>
      <c r="N5" s="55"/>
      <c r="O5" s="55"/>
    </row>
    <row r="7" spans="1:15" ht="20" thickBot="1" x14ac:dyDescent="0.3">
      <c r="A7" s="132"/>
      <c r="B7" s="153">
        <f>Outputs!B41</f>
        <v>3</v>
      </c>
      <c r="C7" s="132"/>
      <c r="D7" s="132"/>
      <c r="E7" s="132"/>
      <c r="F7" s="154">
        <v>2023</v>
      </c>
      <c r="G7" s="154">
        <v>2024</v>
      </c>
      <c r="H7" s="154">
        <v>2025</v>
      </c>
      <c r="I7" s="155" t="s">
        <v>1</v>
      </c>
      <c r="J7" s="155" t="s">
        <v>2</v>
      </c>
      <c r="K7" s="155" t="s">
        <v>3</v>
      </c>
      <c r="L7" s="155" t="s">
        <v>4</v>
      </c>
      <c r="M7" s="155" t="s">
        <v>5</v>
      </c>
      <c r="N7" s="155" t="s">
        <v>6</v>
      </c>
      <c r="O7" s="65" t="s">
        <v>111</v>
      </c>
    </row>
    <row r="8" spans="1:15" ht="19" x14ac:dyDescent="0.25">
      <c r="A8" s="132"/>
      <c r="B8" s="132"/>
      <c r="C8" s="132"/>
      <c r="D8" s="132"/>
      <c r="E8" s="132"/>
      <c r="F8" s="132"/>
      <c r="G8" s="132"/>
      <c r="H8" s="132"/>
      <c r="I8" s="132"/>
      <c r="J8" s="132"/>
      <c r="K8" s="132"/>
      <c r="L8" s="132"/>
      <c r="M8" s="132"/>
      <c r="N8" s="132"/>
      <c r="O8" s="132"/>
    </row>
    <row r="9" spans="1:15" ht="19" x14ac:dyDescent="0.25">
      <c r="A9" s="132"/>
      <c r="B9" s="132"/>
      <c r="C9" s="132"/>
      <c r="D9" s="132"/>
      <c r="E9" s="132"/>
      <c r="F9" s="132"/>
      <c r="G9" s="132"/>
      <c r="H9" s="132"/>
      <c r="I9" s="132"/>
      <c r="J9" s="132"/>
      <c r="K9" s="132"/>
      <c r="L9" s="132"/>
      <c r="M9" s="132"/>
      <c r="N9" s="132"/>
      <c r="O9" s="132"/>
    </row>
    <row r="10" spans="1:15" ht="19" x14ac:dyDescent="0.25">
      <c r="A10" s="132"/>
      <c r="B10" s="132" t="s">
        <v>81</v>
      </c>
      <c r="C10" s="132"/>
      <c r="D10" s="132"/>
      <c r="E10" s="132"/>
      <c r="F10" s="156">
        <v>-2.8000000000000001E-2</v>
      </c>
      <c r="G10" s="157">
        <v>2.0199999999999999E-2</v>
      </c>
      <c r="H10" s="157">
        <v>6.4299999999999996E-2</v>
      </c>
      <c r="I10" s="158">
        <f>CHOOSE($B$7,I13,I14,I15)</f>
        <v>7.3999999999999996E-2</v>
      </c>
      <c r="J10" s="158">
        <f t="shared" ref="J10:N10" si="0">CHOOSE($B$7,J13,J14,J15)</f>
        <v>7.8E-2</v>
      </c>
      <c r="K10" s="158">
        <f t="shared" si="0"/>
        <v>8.2000000000000003E-2</v>
      </c>
      <c r="L10" s="158">
        <f t="shared" si="0"/>
        <v>8.5000000000000006E-2</v>
      </c>
      <c r="M10" s="158">
        <f t="shared" si="0"/>
        <v>0.09</v>
      </c>
      <c r="N10" s="158">
        <f t="shared" si="0"/>
        <v>9.1499999999999998E-2</v>
      </c>
      <c r="O10" s="159">
        <f>F46</f>
        <v>2.5000000000000001E-2</v>
      </c>
    </row>
    <row r="11" spans="1:15" ht="19" x14ac:dyDescent="0.25">
      <c r="A11" s="132"/>
      <c r="C11" s="132"/>
      <c r="D11" s="132"/>
      <c r="E11" s="132"/>
      <c r="F11" s="160"/>
      <c r="G11" s="160"/>
      <c r="H11" s="160"/>
      <c r="I11" s="161"/>
      <c r="J11" s="161"/>
      <c r="K11" s="161"/>
      <c r="L11" s="161"/>
      <c r="M11" s="161"/>
      <c r="N11" s="161"/>
      <c r="O11" s="132"/>
    </row>
    <row r="12" spans="1:15" ht="19" x14ac:dyDescent="0.25">
      <c r="A12" s="132"/>
      <c r="B12" s="132"/>
      <c r="C12" s="132"/>
      <c r="D12" s="132"/>
      <c r="E12" s="132"/>
      <c r="F12" s="132"/>
      <c r="G12" s="132"/>
      <c r="H12" s="132"/>
      <c r="I12" s="162"/>
      <c r="J12" s="162"/>
      <c r="K12" s="162"/>
      <c r="L12" s="162"/>
      <c r="M12" s="162"/>
      <c r="N12" s="162"/>
      <c r="O12" s="132"/>
    </row>
    <row r="13" spans="1:15" ht="19" x14ac:dyDescent="0.25">
      <c r="A13" s="132"/>
      <c r="B13" s="132" t="s">
        <v>83</v>
      </c>
      <c r="C13" s="132"/>
      <c r="D13" s="132"/>
      <c r="E13" s="132"/>
      <c r="F13" s="132"/>
      <c r="G13" s="132"/>
      <c r="H13" s="132"/>
      <c r="I13" s="163">
        <v>4.4999999999999998E-2</v>
      </c>
      <c r="J13" s="164">
        <v>3.2000000000000001E-2</v>
      </c>
      <c r="K13" s="164">
        <v>2.8000000000000001E-2</v>
      </c>
      <c r="L13" s="164">
        <v>1.4999999999999999E-2</v>
      </c>
      <c r="M13" s="164">
        <v>8.0000000000000002E-3</v>
      </c>
      <c r="N13" s="165">
        <v>1E-3</v>
      </c>
      <c r="O13" s="132"/>
    </row>
    <row r="14" spans="1:15" ht="19" x14ac:dyDescent="0.25">
      <c r="A14" s="132"/>
      <c r="B14" s="132" t="s">
        <v>86</v>
      </c>
      <c r="C14" s="132"/>
      <c r="D14" s="132"/>
      <c r="E14" s="132"/>
      <c r="F14" s="132"/>
      <c r="G14" s="132"/>
      <c r="H14" s="132"/>
      <c r="I14" s="166">
        <v>5.7099999999999998E-2</v>
      </c>
      <c r="J14" s="160">
        <v>0.05</v>
      </c>
      <c r="K14" s="160">
        <v>4.7100000000000003E-2</v>
      </c>
      <c r="L14" s="160">
        <v>4.4499999999999998E-2</v>
      </c>
      <c r="M14" s="160">
        <v>4.2700000000000002E-2</v>
      </c>
      <c r="N14" s="167">
        <v>4.2000000000000003E-2</v>
      </c>
      <c r="O14" s="132"/>
    </row>
    <row r="15" spans="1:15" ht="19" x14ac:dyDescent="0.25">
      <c r="A15" s="132"/>
      <c r="B15" s="132" t="s">
        <v>84</v>
      </c>
      <c r="C15" s="132"/>
      <c r="D15" s="132"/>
      <c r="E15" s="132"/>
      <c r="F15" s="132"/>
      <c r="G15" s="132"/>
      <c r="H15" s="132"/>
      <c r="I15" s="168">
        <v>7.3999999999999996E-2</v>
      </c>
      <c r="J15" s="169">
        <v>7.8E-2</v>
      </c>
      <c r="K15" s="169">
        <v>8.2000000000000003E-2</v>
      </c>
      <c r="L15" s="169">
        <v>8.5000000000000006E-2</v>
      </c>
      <c r="M15" s="169">
        <v>0.09</v>
      </c>
      <c r="N15" s="170">
        <v>9.1499999999999998E-2</v>
      </c>
      <c r="O15" s="132"/>
    </row>
    <row r="16" spans="1:15" ht="19" x14ac:dyDescent="0.25">
      <c r="A16" s="132"/>
      <c r="B16" s="132"/>
      <c r="C16" s="132"/>
      <c r="D16" s="132"/>
      <c r="E16" s="132"/>
      <c r="F16" s="132"/>
      <c r="G16" s="132"/>
      <c r="H16" s="132"/>
      <c r="I16" s="160"/>
      <c r="J16" s="160"/>
      <c r="K16" s="160"/>
      <c r="L16" s="160"/>
      <c r="M16" s="160"/>
      <c r="N16" s="160"/>
      <c r="O16" s="132"/>
    </row>
    <row r="17" spans="1:15" ht="19" x14ac:dyDescent="0.25">
      <c r="A17" s="132"/>
      <c r="B17" s="240"/>
      <c r="C17" s="132"/>
      <c r="D17" s="132"/>
      <c r="E17" s="132"/>
      <c r="F17" s="132"/>
      <c r="G17" s="132"/>
      <c r="H17" s="132"/>
      <c r="I17" s="162"/>
      <c r="J17" s="162"/>
      <c r="K17" s="162"/>
      <c r="L17" s="162"/>
      <c r="M17" s="162"/>
      <c r="N17" s="162"/>
      <c r="O17" s="132"/>
    </row>
    <row r="19" spans="1:15" ht="24" x14ac:dyDescent="0.3">
      <c r="B19" s="57" t="s">
        <v>91</v>
      </c>
      <c r="C19" s="55"/>
      <c r="D19" s="55"/>
      <c r="E19" s="55"/>
      <c r="F19" s="60"/>
      <c r="G19" s="60"/>
      <c r="H19" s="60"/>
      <c r="I19" s="60"/>
      <c r="J19" s="60"/>
      <c r="K19" s="60"/>
      <c r="L19" s="60"/>
      <c r="M19" s="60"/>
      <c r="N19" s="60"/>
      <c r="O19" s="55"/>
    </row>
    <row r="20" spans="1:15" x14ac:dyDescent="0.2">
      <c r="F20" s="20"/>
      <c r="G20" s="20"/>
      <c r="H20" s="20"/>
      <c r="I20" s="20"/>
      <c r="J20" s="20"/>
      <c r="K20" s="20"/>
      <c r="L20" s="20"/>
      <c r="M20" s="20"/>
      <c r="N20" s="20"/>
    </row>
    <row r="21" spans="1:15" x14ac:dyDescent="0.2">
      <c r="F21" s="12"/>
      <c r="G21" s="12"/>
      <c r="H21" s="12"/>
      <c r="I21" s="12"/>
      <c r="J21" s="12"/>
      <c r="K21" s="12"/>
      <c r="L21" s="12"/>
      <c r="M21" s="12"/>
      <c r="N21" s="12"/>
    </row>
    <row r="22" spans="1:15" ht="19" x14ac:dyDescent="0.25">
      <c r="B22" s="132" t="s">
        <v>89</v>
      </c>
      <c r="C22" s="132"/>
      <c r="D22" s="132"/>
      <c r="E22" s="132"/>
      <c r="F22" s="171">
        <v>0.08</v>
      </c>
      <c r="G22" s="172">
        <v>0.08</v>
      </c>
      <c r="H22" s="172">
        <v>0.08</v>
      </c>
      <c r="I22" s="172">
        <v>0.08</v>
      </c>
      <c r="J22" s="172">
        <v>0.08</v>
      </c>
      <c r="K22" s="172">
        <v>0.08</v>
      </c>
      <c r="L22" s="172">
        <v>0.08</v>
      </c>
      <c r="M22" s="172">
        <v>0.08</v>
      </c>
      <c r="N22" s="173">
        <v>0.08</v>
      </c>
      <c r="O22" s="174">
        <v>0.08</v>
      </c>
    </row>
    <row r="23" spans="1:15" ht="34" x14ac:dyDescent="0.4">
      <c r="B23" s="224"/>
      <c r="C23" s="132"/>
      <c r="D23" s="132"/>
      <c r="E23" s="132"/>
      <c r="F23" s="136"/>
      <c r="G23" s="136"/>
      <c r="H23" s="136"/>
      <c r="I23" s="136"/>
      <c r="J23" s="136"/>
      <c r="K23" s="136"/>
      <c r="L23" s="136"/>
      <c r="M23" s="136"/>
      <c r="N23" s="136"/>
      <c r="O23" s="132"/>
    </row>
    <row r="24" spans="1:15" ht="19" x14ac:dyDescent="0.25">
      <c r="B24" s="132" t="s">
        <v>90</v>
      </c>
      <c r="C24" s="132"/>
      <c r="D24" s="132"/>
      <c r="E24" s="132"/>
      <c r="F24" s="171">
        <v>7.0000000000000007E-2</v>
      </c>
      <c r="G24" s="172">
        <v>7.0000000000000007E-2</v>
      </c>
      <c r="H24" s="172">
        <v>7.0000000000000007E-2</v>
      </c>
      <c r="I24" s="172">
        <v>7.0000000000000007E-2</v>
      </c>
      <c r="J24" s="172">
        <v>7.0000000000000007E-2</v>
      </c>
      <c r="K24" s="172">
        <v>7.0000000000000007E-2</v>
      </c>
      <c r="L24" s="172">
        <v>7.0000000000000007E-2</v>
      </c>
      <c r="M24" s="172">
        <v>7.0000000000000007E-2</v>
      </c>
      <c r="N24" s="173">
        <v>7.0000000000000007E-2</v>
      </c>
      <c r="O24" s="174">
        <v>7.0000000000000007E-2</v>
      </c>
    </row>
    <row r="25" spans="1:15" ht="19" x14ac:dyDescent="0.25">
      <c r="B25" s="132"/>
      <c r="C25" s="132"/>
      <c r="D25" s="132"/>
      <c r="E25" s="132"/>
      <c r="F25" s="132"/>
      <c r="G25" s="132"/>
      <c r="H25" s="132"/>
      <c r="I25" s="132"/>
      <c r="J25" s="132"/>
      <c r="K25" s="132"/>
      <c r="L25" s="132"/>
      <c r="M25" s="132"/>
      <c r="N25" s="132"/>
      <c r="O25" s="132"/>
    </row>
    <row r="26" spans="1:15" ht="19" x14ac:dyDescent="0.25">
      <c r="B26" s="13" t="s">
        <v>72</v>
      </c>
      <c r="C26" s="132"/>
      <c r="D26" s="132"/>
      <c r="E26" s="132"/>
      <c r="F26" s="171">
        <v>0.433</v>
      </c>
      <c r="G26" s="172">
        <v>0.46200000000000002</v>
      </c>
      <c r="H26" s="172">
        <v>0.46899999999999997</v>
      </c>
      <c r="I26" s="172">
        <v>0.47299999999999998</v>
      </c>
      <c r="J26" s="172">
        <v>0.47899999999999998</v>
      </c>
      <c r="K26" s="172">
        <v>0.48399999999999999</v>
      </c>
      <c r="L26" s="172">
        <v>0.49</v>
      </c>
      <c r="M26" s="172">
        <v>0.504</v>
      </c>
      <c r="N26" s="173">
        <v>0.50900000000000001</v>
      </c>
      <c r="O26" s="174">
        <v>0.51</v>
      </c>
    </row>
    <row r="27" spans="1:15" ht="19" x14ac:dyDescent="0.25">
      <c r="B27" s="132"/>
      <c r="C27" s="132"/>
      <c r="D27" s="132"/>
      <c r="E27" s="132"/>
      <c r="F27" s="162"/>
      <c r="G27" s="162"/>
      <c r="H27" s="162"/>
      <c r="I27" s="162"/>
      <c r="J27" s="162"/>
      <c r="K27" s="162"/>
      <c r="L27" s="162"/>
      <c r="M27" s="162"/>
      <c r="N27" s="162"/>
      <c r="O27" s="132"/>
    </row>
    <row r="28" spans="1:15" ht="19" x14ac:dyDescent="0.25">
      <c r="B28" s="132" t="s">
        <v>109</v>
      </c>
      <c r="C28" s="132"/>
      <c r="D28" s="132"/>
      <c r="E28" s="132"/>
      <c r="F28" s="175">
        <v>365</v>
      </c>
      <c r="G28" s="176">
        <v>365</v>
      </c>
      <c r="H28" s="176">
        <v>365</v>
      </c>
      <c r="I28" s="176">
        <v>365</v>
      </c>
      <c r="J28" s="176">
        <v>365</v>
      </c>
      <c r="K28" s="176">
        <v>365</v>
      </c>
      <c r="L28" s="176">
        <v>365</v>
      </c>
      <c r="M28" s="176">
        <v>365</v>
      </c>
      <c r="N28" s="177">
        <v>365</v>
      </c>
      <c r="O28" s="178">
        <v>365</v>
      </c>
    </row>
    <row r="29" spans="1:15" ht="19" x14ac:dyDescent="0.25">
      <c r="B29" s="132"/>
      <c r="C29" s="132"/>
      <c r="D29" s="132"/>
      <c r="E29" s="132"/>
      <c r="F29" s="179"/>
      <c r="G29" s="179"/>
      <c r="H29" s="179"/>
      <c r="I29" s="179"/>
      <c r="J29" s="179"/>
      <c r="K29" s="179"/>
      <c r="L29" s="179"/>
      <c r="M29" s="179"/>
      <c r="N29" s="179"/>
      <c r="O29" s="132"/>
    </row>
    <row r="30" spans="1:15" ht="19" x14ac:dyDescent="0.25">
      <c r="B30" s="132" t="s">
        <v>94</v>
      </c>
      <c r="C30" s="132"/>
      <c r="D30" s="132"/>
      <c r="E30" s="132"/>
      <c r="F30" s="180">
        <v>107</v>
      </c>
      <c r="G30" s="181">
        <v>120</v>
      </c>
      <c r="H30" s="181">
        <v>115</v>
      </c>
      <c r="I30" s="181">
        <v>115</v>
      </c>
      <c r="J30" s="181">
        <v>115</v>
      </c>
      <c r="K30" s="181">
        <v>115</v>
      </c>
      <c r="L30" s="181">
        <v>115</v>
      </c>
      <c r="M30" s="181">
        <v>115</v>
      </c>
      <c r="N30" s="181">
        <v>115</v>
      </c>
      <c r="O30" s="182">
        <v>115</v>
      </c>
    </row>
    <row r="31" spans="1:15" ht="19" x14ac:dyDescent="0.25">
      <c r="B31" s="132" t="s">
        <v>95</v>
      </c>
      <c r="C31" s="132"/>
      <c r="D31" s="132"/>
      <c r="E31" s="132"/>
      <c r="F31" s="183">
        <v>28</v>
      </c>
      <c r="G31" s="179">
        <v>31</v>
      </c>
      <c r="H31" s="179">
        <v>35</v>
      </c>
      <c r="I31" s="179">
        <v>32</v>
      </c>
      <c r="J31" s="179">
        <v>32</v>
      </c>
      <c r="K31" s="179">
        <v>32</v>
      </c>
      <c r="L31" s="179">
        <v>32</v>
      </c>
      <c r="M31" s="179">
        <v>32</v>
      </c>
      <c r="N31" s="179">
        <v>32</v>
      </c>
      <c r="O31" s="184">
        <v>32</v>
      </c>
    </row>
    <row r="32" spans="1:15" ht="19" x14ac:dyDescent="0.25">
      <c r="B32" s="132" t="s">
        <v>186</v>
      </c>
      <c r="C32" s="132"/>
      <c r="D32" s="132"/>
      <c r="E32" s="132"/>
      <c r="F32" s="185">
        <v>11</v>
      </c>
      <c r="G32" s="186">
        <v>13</v>
      </c>
      <c r="H32" s="186">
        <v>9</v>
      </c>
      <c r="I32" s="186">
        <v>9</v>
      </c>
      <c r="J32" s="186">
        <v>9</v>
      </c>
      <c r="K32" s="186">
        <v>9</v>
      </c>
      <c r="L32" s="186">
        <v>9</v>
      </c>
      <c r="M32" s="186">
        <v>9</v>
      </c>
      <c r="N32" s="186">
        <v>9</v>
      </c>
      <c r="O32" s="187">
        <v>9</v>
      </c>
    </row>
    <row r="33" spans="2:15" ht="19" x14ac:dyDescent="0.25">
      <c r="B33" s="132"/>
      <c r="C33" s="132"/>
      <c r="D33" s="132"/>
      <c r="E33" s="132"/>
      <c r="F33" s="179"/>
      <c r="G33" s="179"/>
      <c r="H33" s="179"/>
      <c r="I33" s="179"/>
      <c r="J33" s="179"/>
      <c r="K33" s="179"/>
      <c r="L33" s="179"/>
      <c r="M33" s="179"/>
      <c r="N33" s="179"/>
      <c r="O33" s="132"/>
    </row>
    <row r="34" spans="2:15" ht="19" x14ac:dyDescent="0.25">
      <c r="B34" s="132"/>
      <c r="C34" s="132"/>
      <c r="D34" s="132"/>
      <c r="E34" s="132"/>
      <c r="F34" s="179"/>
      <c r="G34" s="179"/>
      <c r="H34" s="179"/>
      <c r="I34" s="179"/>
      <c r="J34" s="179"/>
      <c r="K34" s="179"/>
      <c r="L34" s="179"/>
      <c r="M34" s="179"/>
      <c r="N34" s="179"/>
      <c r="O34" s="132"/>
    </row>
    <row r="35" spans="2:15" ht="19" x14ac:dyDescent="0.25">
      <c r="B35" s="132" t="s">
        <v>106</v>
      </c>
      <c r="C35" s="132"/>
      <c r="D35" s="132"/>
      <c r="E35" s="132"/>
      <c r="F35" s="162">
        <v>2.8000000000000001E-2</v>
      </c>
      <c r="G35" s="132"/>
      <c r="H35" s="132"/>
      <c r="I35" s="132"/>
      <c r="J35" s="132"/>
      <c r="K35" s="132"/>
      <c r="L35" s="132"/>
      <c r="M35" s="132"/>
      <c r="N35" s="132"/>
      <c r="O35" s="132"/>
    </row>
    <row r="36" spans="2:15" ht="19" x14ac:dyDescent="0.25">
      <c r="B36" s="132" t="s">
        <v>101</v>
      </c>
      <c r="C36" s="132"/>
      <c r="D36" s="132"/>
      <c r="E36" s="132"/>
      <c r="F36" s="162">
        <v>0.03</v>
      </c>
      <c r="G36" s="132"/>
      <c r="H36" s="132"/>
      <c r="I36" s="132"/>
      <c r="J36" s="132"/>
      <c r="K36" s="132"/>
      <c r="L36" s="132"/>
      <c r="M36" s="132"/>
      <c r="N36" s="132"/>
      <c r="O36" s="132"/>
    </row>
    <row r="37" spans="2:15" ht="19" x14ac:dyDescent="0.25">
      <c r="B37" s="132"/>
      <c r="C37" s="132"/>
      <c r="D37" s="132"/>
      <c r="E37" s="132"/>
      <c r="F37" s="162">
        <v>0.155</v>
      </c>
      <c r="G37" s="132"/>
      <c r="H37" s="132"/>
      <c r="I37" s="132"/>
      <c r="J37" s="132"/>
      <c r="K37" s="132"/>
      <c r="L37" s="132"/>
      <c r="M37" s="132"/>
      <c r="N37" s="132"/>
      <c r="O37" s="132"/>
    </row>
    <row r="38" spans="2:15" ht="19" x14ac:dyDescent="0.25">
      <c r="B38" s="132" t="s">
        <v>184</v>
      </c>
      <c r="C38" s="132"/>
      <c r="D38" s="132"/>
      <c r="E38" s="132"/>
      <c r="F38" s="188">
        <v>1.2999999999999999E-2</v>
      </c>
      <c r="G38" s="132"/>
      <c r="H38" s="132"/>
      <c r="I38" s="132"/>
      <c r="J38" s="132"/>
      <c r="K38" s="132"/>
      <c r="L38" s="132"/>
      <c r="M38" s="132"/>
      <c r="N38" s="132"/>
      <c r="O38" s="132"/>
    </row>
    <row r="39" spans="2:15" ht="19" x14ac:dyDescent="0.25">
      <c r="B39" s="132" t="s">
        <v>107</v>
      </c>
      <c r="C39" s="132"/>
      <c r="D39" s="132"/>
      <c r="E39" s="132"/>
      <c r="F39" s="179">
        <v>100000</v>
      </c>
      <c r="G39" s="132"/>
      <c r="H39" s="132"/>
      <c r="I39" s="132"/>
      <c r="J39" s="132"/>
      <c r="K39" s="132"/>
      <c r="L39" s="132"/>
      <c r="M39" s="132"/>
      <c r="N39" s="132"/>
      <c r="O39" s="132"/>
    </row>
    <row r="40" spans="2:15" ht="17" customHeight="1" x14ac:dyDescent="0.25">
      <c r="B40" s="132"/>
      <c r="C40" s="132"/>
      <c r="D40" s="132"/>
      <c r="E40" s="132"/>
      <c r="F40" s="179"/>
      <c r="G40" s="132"/>
      <c r="H40" s="132"/>
      <c r="I40" s="132"/>
      <c r="J40" s="132"/>
      <c r="K40" s="132"/>
      <c r="L40" s="132"/>
      <c r="M40" s="132"/>
      <c r="N40" s="132"/>
      <c r="O40" s="132"/>
    </row>
    <row r="41" spans="2:15" ht="17" customHeight="1" x14ac:dyDescent="0.25">
      <c r="B41" s="132"/>
      <c r="C41" s="132"/>
      <c r="D41" s="132"/>
      <c r="E41" s="132"/>
      <c r="F41" s="179"/>
      <c r="G41" s="132"/>
      <c r="H41" s="132"/>
      <c r="I41" s="132"/>
      <c r="J41" s="132"/>
      <c r="K41" s="132"/>
      <c r="L41" s="132"/>
      <c r="M41" s="132"/>
      <c r="N41" s="132"/>
      <c r="O41" s="132"/>
    </row>
    <row r="42" spans="2:15" ht="15" customHeight="1" x14ac:dyDescent="0.25">
      <c r="B42" s="241"/>
      <c r="C42" s="38"/>
      <c r="D42" s="38"/>
      <c r="E42" s="38"/>
      <c r="F42" s="38"/>
      <c r="G42" s="38"/>
      <c r="H42" s="38"/>
      <c r="I42" s="38"/>
      <c r="J42" s="38"/>
      <c r="K42" s="38"/>
      <c r="L42" s="38"/>
      <c r="M42" s="132"/>
      <c r="N42" s="132"/>
      <c r="O42" s="132"/>
    </row>
    <row r="43" spans="2:15" ht="19" customHeight="1" x14ac:dyDescent="0.25">
      <c r="B43" s="189"/>
      <c r="C43" s="132"/>
      <c r="D43" s="132"/>
      <c r="E43" s="132"/>
      <c r="F43" s="132"/>
      <c r="G43" s="132"/>
      <c r="H43" s="132"/>
      <c r="I43" s="132"/>
      <c r="J43" s="132"/>
      <c r="K43" s="132"/>
      <c r="L43" s="132"/>
      <c r="M43" s="132"/>
      <c r="N43" s="132"/>
      <c r="O43" s="132"/>
    </row>
    <row r="44" spans="2:15" ht="22" x14ac:dyDescent="0.3">
      <c r="B44" s="7" t="s">
        <v>215</v>
      </c>
      <c r="C44" s="132"/>
      <c r="D44" s="132"/>
      <c r="E44" s="132"/>
      <c r="F44" s="132"/>
      <c r="G44" s="132"/>
      <c r="H44" s="132"/>
      <c r="I44" s="132"/>
      <c r="J44" s="132"/>
      <c r="K44" s="132"/>
      <c r="L44" s="132"/>
      <c r="M44" s="132"/>
      <c r="N44" s="132"/>
      <c r="O44" s="132"/>
    </row>
    <row r="45" spans="2:15" s="38" customFormat="1" ht="19" x14ac:dyDescent="0.25">
      <c r="B45" s="9"/>
      <c r="C45" s="132"/>
      <c r="D45" s="132"/>
      <c r="E45" s="132"/>
      <c r="F45" s="132"/>
      <c r="G45" s="132"/>
      <c r="H45" s="132"/>
      <c r="I45" s="132"/>
      <c r="J45" s="132"/>
      <c r="K45" s="132"/>
      <c r="L45" s="132"/>
      <c r="M45" s="132"/>
      <c r="N45" s="132"/>
      <c r="O45" s="132"/>
    </row>
    <row r="46" spans="2:15" s="38" customFormat="1" ht="19" x14ac:dyDescent="0.25">
      <c r="B46" s="132" t="s">
        <v>141</v>
      </c>
      <c r="C46" s="132"/>
      <c r="D46" s="132"/>
      <c r="E46" s="132"/>
      <c r="F46" s="188">
        <f>Outputs!K41</f>
        <v>2.5000000000000001E-2</v>
      </c>
      <c r="G46" s="132"/>
      <c r="H46" s="132"/>
      <c r="I46" s="132"/>
      <c r="J46" s="132"/>
      <c r="K46" s="132"/>
      <c r="L46" s="132"/>
      <c r="M46" s="132"/>
      <c r="N46" s="132"/>
      <c r="O46" s="132"/>
    </row>
    <row r="47" spans="2:15" s="38" customFormat="1" ht="19" x14ac:dyDescent="0.25">
      <c r="B47" s="132" t="s">
        <v>142</v>
      </c>
      <c r="C47" s="132"/>
      <c r="D47" s="132"/>
      <c r="E47" s="132"/>
      <c r="F47" s="190">
        <f>Outputs!K44</f>
        <v>14860</v>
      </c>
      <c r="G47" s="132"/>
      <c r="H47" s="132"/>
      <c r="I47" s="132"/>
      <c r="J47" s="132"/>
      <c r="K47" s="132"/>
      <c r="L47" s="132"/>
      <c r="M47" s="132"/>
      <c r="N47" s="132"/>
      <c r="O47" s="132"/>
    </row>
    <row r="48" spans="2:15" s="38" customFormat="1" ht="19" x14ac:dyDescent="0.25">
      <c r="B48" s="132" t="s">
        <v>212</v>
      </c>
      <c r="C48" s="132"/>
      <c r="D48" s="132"/>
      <c r="E48" s="132"/>
      <c r="F48" s="191">
        <v>271</v>
      </c>
      <c r="G48" s="132"/>
      <c r="H48" s="132"/>
      <c r="I48" s="132"/>
      <c r="J48" s="132"/>
      <c r="K48" s="132"/>
      <c r="L48" s="161"/>
      <c r="M48" s="132"/>
      <c r="N48" s="132"/>
      <c r="O48" s="132"/>
    </row>
    <row r="49" spans="2:15" s="38" customFormat="1" ht="19" x14ac:dyDescent="0.25">
      <c r="B49" s="132" t="s">
        <v>156</v>
      </c>
      <c r="C49" s="132"/>
      <c r="D49" s="132"/>
      <c r="E49" s="132"/>
      <c r="F49" s="242">
        <f>Outputs!K42</f>
        <v>16.52</v>
      </c>
      <c r="G49" s="132"/>
      <c r="I49" s="132"/>
      <c r="J49" s="132"/>
      <c r="K49" s="192"/>
      <c r="L49" s="161"/>
      <c r="M49" s="132"/>
      <c r="N49" s="132"/>
      <c r="O49" s="132"/>
    </row>
    <row r="50" spans="2:15" s="38" customFormat="1" ht="19" x14ac:dyDescent="0.25">
      <c r="B50" s="132" t="s">
        <v>157</v>
      </c>
      <c r="C50" s="132"/>
      <c r="D50" s="132"/>
      <c r="E50" s="132"/>
      <c r="F50" s="193">
        <v>46023</v>
      </c>
      <c r="G50" s="132"/>
      <c r="H50" s="132"/>
      <c r="I50" s="132"/>
      <c r="J50" s="132"/>
      <c r="K50" s="132"/>
      <c r="L50" s="161"/>
      <c r="M50" s="132"/>
      <c r="N50" s="132"/>
      <c r="O50" s="132"/>
    </row>
    <row r="51" spans="2:15" s="38" customFormat="1" ht="19" x14ac:dyDescent="0.25">
      <c r="B51" s="132" t="s">
        <v>140</v>
      </c>
      <c r="C51" s="132"/>
      <c r="D51" s="132"/>
      <c r="E51" s="132"/>
      <c r="F51" s="136">
        <f>Outputs!K40</f>
        <v>8.8200000000000001E-2</v>
      </c>
      <c r="G51" s="132"/>
      <c r="H51" s="132"/>
      <c r="I51" s="132"/>
      <c r="J51" s="132"/>
      <c r="K51" s="132"/>
      <c r="L51" s="161"/>
      <c r="M51" s="132"/>
      <c r="N51" s="132"/>
      <c r="O51" s="132"/>
    </row>
    <row r="53" spans="2:15" ht="24" x14ac:dyDescent="0.3">
      <c r="B53" s="57" t="s">
        <v>118</v>
      </c>
      <c r="C53" s="55"/>
      <c r="D53" s="55"/>
      <c r="E53" s="55"/>
      <c r="F53" s="55"/>
      <c r="G53" s="55"/>
      <c r="H53" s="55"/>
      <c r="I53" s="55"/>
      <c r="J53" s="55"/>
      <c r="K53" s="55"/>
      <c r="L53" s="55"/>
      <c r="M53" s="55"/>
      <c r="N53" s="55"/>
      <c r="O53" s="55"/>
    </row>
    <row r="55" spans="2:15" ht="19" x14ac:dyDescent="0.25">
      <c r="K55" s="9" t="s">
        <v>121</v>
      </c>
    </row>
    <row r="56" spans="2:15" ht="19" x14ac:dyDescent="0.25">
      <c r="B56" s="82" t="s">
        <v>136</v>
      </c>
      <c r="C56" s="42"/>
      <c r="D56" s="42"/>
      <c r="E56" s="42"/>
      <c r="F56" s="84">
        <v>4.36E-2</v>
      </c>
      <c r="K56" s="91" t="s">
        <v>46</v>
      </c>
    </row>
    <row r="57" spans="2:15" ht="19" x14ac:dyDescent="0.25">
      <c r="B57" s="78" t="s">
        <v>137</v>
      </c>
      <c r="C57" s="41"/>
      <c r="D57" s="41"/>
      <c r="E57" s="41"/>
      <c r="F57" s="85">
        <v>4.24E-2</v>
      </c>
      <c r="K57" s="91" t="s">
        <v>122</v>
      </c>
    </row>
    <row r="58" spans="2:15" x14ac:dyDescent="0.2">
      <c r="F58" s="71"/>
      <c r="K58" s="91"/>
    </row>
    <row r="59" spans="2:15" ht="19" x14ac:dyDescent="0.25">
      <c r="B59" s="9" t="s">
        <v>189</v>
      </c>
      <c r="C59" s="132"/>
      <c r="D59" s="132"/>
      <c r="E59" s="132"/>
      <c r="F59" s="132"/>
      <c r="K59" s="91"/>
    </row>
    <row r="60" spans="2:15" ht="19" x14ac:dyDescent="0.25">
      <c r="B60" s="132" t="s">
        <v>119</v>
      </c>
      <c r="C60" s="132"/>
      <c r="D60" s="132"/>
      <c r="E60" s="132"/>
      <c r="F60" s="244">
        <v>0.83</v>
      </c>
      <c r="K60" s="91" t="s">
        <v>122</v>
      </c>
    </row>
    <row r="61" spans="2:15" ht="19" x14ac:dyDescent="0.25">
      <c r="B61" s="132" t="s">
        <v>125</v>
      </c>
      <c r="C61" s="132"/>
      <c r="D61" s="132"/>
      <c r="E61" s="132"/>
      <c r="F61" s="179">
        <v>291.11</v>
      </c>
      <c r="G61" s="72" t="s">
        <v>214</v>
      </c>
      <c r="K61" s="91" t="s">
        <v>123</v>
      </c>
    </row>
    <row r="62" spans="2:15" ht="19" x14ac:dyDescent="0.25">
      <c r="B62" s="132" t="s">
        <v>126</v>
      </c>
      <c r="C62" s="132"/>
      <c r="D62" s="132"/>
      <c r="E62" s="132"/>
      <c r="F62" s="179">
        <v>4032.15</v>
      </c>
      <c r="G62" s="72" t="s">
        <v>214</v>
      </c>
      <c r="K62" s="91" t="s">
        <v>123</v>
      </c>
    </row>
    <row r="63" spans="2:15" ht="19" x14ac:dyDescent="0.25">
      <c r="B63" s="132" t="s">
        <v>120</v>
      </c>
      <c r="C63" s="132"/>
      <c r="D63" s="132"/>
      <c r="E63" s="132"/>
      <c r="F63" s="245">
        <f>F61/F62</f>
        <v>7.2197214885358935E-2</v>
      </c>
      <c r="K63" s="91"/>
    </row>
    <row r="64" spans="2:15" ht="19" x14ac:dyDescent="0.25">
      <c r="B64" s="132" t="s">
        <v>112</v>
      </c>
      <c r="C64" s="132"/>
      <c r="D64" s="132"/>
      <c r="E64" s="132"/>
      <c r="F64" s="136">
        <f>F37</f>
        <v>0.155</v>
      </c>
      <c r="K64" s="91" t="s">
        <v>124</v>
      </c>
    </row>
    <row r="65" spans="2:15" x14ac:dyDescent="0.2">
      <c r="K65" s="91"/>
    </row>
    <row r="66" spans="2:15" ht="19" x14ac:dyDescent="0.25">
      <c r="B66" s="246" t="s">
        <v>129</v>
      </c>
      <c r="C66" s="247"/>
      <c r="D66" s="247"/>
      <c r="E66" s="247"/>
      <c r="F66" s="248">
        <f>F60*(1+F63*(1-F64))</f>
        <v>0.88063551665984641</v>
      </c>
      <c r="K66" s="91"/>
    </row>
    <row r="67" spans="2:15" ht="19" x14ac:dyDescent="0.25">
      <c r="B67" s="249" t="s">
        <v>127</v>
      </c>
      <c r="C67" s="250"/>
      <c r="D67" s="250"/>
      <c r="E67" s="250"/>
      <c r="F67" s="251">
        <v>1.07</v>
      </c>
      <c r="K67" s="91" t="s">
        <v>128</v>
      </c>
    </row>
    <row r="70" spans="2:15" ht="19" x14ac:dyDescent="0.25">
      <c r="B70" s="64" t="s">
        <v>213</v>
      </c>
      <c r="C70" s="5"/>
      <c r="D70" s="5"/>
      <c r="E70" s="5"/>
      <c r="F70" s="252">
        <f>CHOOSE(K70,F66,F67)</f>
        <v>1.07</v>
      </c>
      <c r="I70" s="1" t="s">
        <v>130</v>
      </c>
      <c r="K70" s="1">
        <v>2</v>
      </c>
    </row>
    <row r="73" spans="2:15" x14ac:dyDescent="0.2">
      <c r="B73" s="42"/>
      <c r="C73" s="42"/>
      <c r="D73" s="42"/>
      <c r="E73" s="42"/>
      <c r="F73" s="42"/>
      <c r="G73" s="42"/>
      <c r="H73" s="42"/>
      <c r="I73" s="42"/>
      <c r="J73" s="42"/>
      <c r="K73" s="42"/>
      <c r="L73" s="42"/>
      <c r="M73" s="42"/>
      <c r="N73" s="42"/>
      <c r="O73" s="42"/>
    </row>
    <row r="76" spans="2:15" ht="19" x14ac:dyDescent="0.25">
      <c r="B76" s="82" t="s">
        <v>133</v>
      </c>
      <c r="C76" s="42"/>
      <c r="D76" s="42"/>
      <c r="E76" s="42"/>
      <c r="F76" s="86">
        <f>F56+(F57*F70)</f>
        <v>8.8968000000000005E-2</v>
      </c>
    </row>
    <row r="77" spans="2:15" ht="19" x14ac:dyDescent="0.25">
      <c r="B77" s="78" t="s">
        <v>132</v>
      </c>
      <c r="C77" s="41"/>
      <c r="D77" s="41"/>
      <c r="E77" s="41"/>
      <c r="F77" s="87">
        <v>5.0099999999999999E-2</v>
      </c>
      <c r="K77" s="91" t="s">
        <v>135</v>
      </c>
    </row>
    <row r="78" spans="2:15" x14ac:dyDescent="0.2">
      <c r="B78" s="38"/>
      <c r="F78" s="4"/>
      <c r="K78" s="91"/>
    </row>
    <row r="79" spans="2:15" ht="19" x14ac:dyDescent="0.25">
      <c r="B79" s="82" t="s">
        <v>131</v>
      </c>
      <c r="C79" s="42"/>
      <c r="D79" s="42"/>
      <c r="E79" s="42"/>
      <c r="F79" s="88">
        <v>1.9800000000000002E-2</v>
      </c>
      <c r="K79" s="91" t="s">
        <v>135</v>
      </c>
    </row>
    <row r="80" spans="2:15" ht="19" x14ac:dyDescent="0.25">
      <c r="B80" s="78" t="s">
        <v>134</v>
      </c>
      <c r="C80" s="41"/>
      <c r="D80" s="41"/>
      <c r="E80" s="41"/>
      <c r="F80" s="87">
        <v>0.98019999999999996</v>
      </c>
      <c r="K80" s="91" t="s">
        <v>135</v>
      </c>
    </row>
    <row r="83" spans="2:15" ht="22" x14ac:dyDescent="0.3">
      <c r="B83" s="83" t="s">
        <v>118</v>
      </c>
      <c r="C83" s="5"/>
      <c r="D83" s="5"/>
      <c r="E83" s="5"/>
      <c r="F83" s="89">
        <f>(F76*F80)+(F77*F79)</f>
        <v>8.8198413600000011E-2</v>
      </c>
    </row>
    <row r="87" spans="2:15" ht="24" x14ac:dyDescent="0.3">
      <c r="B87" s="57" t="s">
        <v>194</v>
      </c>
      <c r="C87" s="55"/>
      <c r="D87" s="55"/>
      <c r="E87" s="55"/>
      <c r="F87" s="55"/>
      <c r="G87" s="55"/>
      <c r="H87" s="55"/>
      <c r="I87" s="55"/>
      <c r="J87" s="55"/>
      <c r="K87" s="55"/>
      <c r="L87" s="55"/>
      <c r="M87" s="55"/>
      <c r="N87" s="55"/>
      <c r="O87" s="55"/>
    </row>
    <row r="91" spans="2:15" ht="22" x14ac:dyDescent="0.3">
      <c r="B91" s="14"/>
      <c r="C91" s="14"/>
      <c r="D91" s="14"/>
      <c r="E91" s="14" t="s">
        <v>200</v>
      </c>
      <c r="G91" s="44"/>
    </row>
    <row r="92" spans="2:15" ht="22" x14ac:dyDescent="0.3">
      <c r="B92" s="14" t="s">
        <v>195</v>
      </c>
      <c r="C92" s="14"/>
      <c r="D92" s="14"/>
      <c r="E92" s="234">
        <v>22.52</v>
      </c>
      <c r="G92" s="44"/>
      <c r="H92" s="28" t="s">
        <v>203</v>
      </c>
      <c r="I92" s="28"/>
      <c r="J92" s="28"/>
      <c r="K92" s="28"/>
      <c r="L92" s="243">
        <f>AVERAGE(E92:E96)</f>
        <v>16.518000000000001</v>
      </c>
    </row>
    <row r="93" spans="2:15" ht="22" x14ac:dyDescent="0.3">
      <c r="B93" s="14" t="s">
        <v>197</v>
      </c>
      <c r="C93" s="14"/>
      <c r="D93" s="14"/>
      <c r="E93" s="234">
        <v>24.81</v>
      </c>
      <c r="G93" s="44"/>
      <c r="H93" s="28" t="s">
        <v>204</v>
      </c>
      <c r="I93" s="28"/>
      <c r="J93" s="28"/>
      <c r="K93" s="28"/>
      <c r="L93" s="243">
        <f>MEDIAN(E92:E96)</f>
        <v>17.2</v>
      </c>
    </row>
    <row r="94" spans="2:15" ht="22" x14ac:dyDescent="0.3">
      <c r="B94" s="14" t="s">
        <v>196</v>
      </c>
      <c r="C94" s="14"/>
      <c r="D94" s="14"/>
      <c r="E94" s="234">
        <v>10.92</v>
      </c>
      <c r="G94" s="44"/>
      <c r="H94" s="28" t="s">
        <v>205</v>
      </c>
      <c r="I94" s="28"/>
      <c r="J94" s="28"/>
      <c r="K94" s="28"/>
      <c r="L94" s="243">
        <f>MIN(E92:E96)</f>
        <v>7.14</v>
      </c>
    </row>
    <row r="95" spans="2:15" ht="22" x14ac:dyDescent="0.3">
      <c r="B95" s="14" t="s">
        <v>198</v>
      </c>
      <c r="C95" s="14"/>
      <c r="D95" s="14"/>
      <c r="E95" s="234">
        <v>7.14</v>
      </c>
      <c r="G95" s="44"/>
      <c r="H95" s="28" t="s">
        <v>206</v>
      </c>
      <c r="I95" s="28"/>
      <c r="J95" s="28"/>
      <c r="K95" s="28"/>
      <c r="L95" s="243">
        <f>MAX(E92:E96)</f>
        <v>24.81</v>
      </c>
    </row>
    <row r="96" spans="2:15" ht="22" x14ac:dyDescent="0.3">
      <c r="B96" s="14" t="s">
        <v>199</v>
      </c>
      <c r="C96" s="14"/>
      <c r="D96" s="14"/>
      <c r="E96" s="234">
        <v>17.2</v>
      </c>
      <c r="G96" s="44"/>
      <c r="H96" s="28"/>
      <c r="I96" s="28"/>
      <c r="J96" s="28"/>
      <c r="K96" s="28"/>
      <c r="L96" s="243"/>
    </row>
    <row r="97" spans="2:12" ht="22" x14ac:dyDescent="0.3">
      <c r="G97" s="44"/>
      <c r="H97" s="83" t="s">
        <v>207</v>
      </c>
      <c r="I97" s="253"/>
      <c r="J97" s="253"/>
      <c r="K97" s="253"/>
      <c r="L97" s="254">
        <f>L92</f>
        <v>16.518000000000001</v>
      </c>
    </row>
    <row r="100" spans="2:12" x14ac:dyDescent="0.2">
      <c r="B100" s="1" t="s">
        <v>201</v>
      </c>
    </row>
    <row r="101" spans="2:12" x14ac:dyDescent="0.2">
      <c r="B101" s="1" t="s">
        <v>202</v>
      </c>
    </row>
  </sheetData>
  <pageMargins left="0.7" right="0.7" top="0.75" bottom="0.75" header="0.3" footer="0.3"/>
  <pageSetup paperSize="9" scale="54" fitToHeight="8"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anchor moveWithCells="1">
                  <from>
                    <xdr:col>1</xdr:col>
                    <xdr:colOff>0</xdr:colOff>
                    <xdr:row>5</xdr:row>
                    <xdr:rowOff>152400</xdr:rowOff>
                  </from>
                  <to>
                    <xdr:col>3</xdr:col>
                    <xdr:colOff>215900</xdr:colOff>
                    <xdr:row>8</xdr:row>
                    <xdr:rowOff>38100</xdr:rowOff>
                  </to>
                </anchor>
              </controlPr>
            </control>
          </mc:Choice>
        </mc:AlternateContent>
        <mc:AlternateContent xmlns:mc="http://schemas.openxmlformats.org/markup-compatibility/2006">
          <mc:Choice Requires="x14">
            <control shapeId="4098" r:id="rId4" name="Drop Down 2">
              <controlPr defaultSize="0" autoLine="0" autoPict="0">
                <anchor moveWithCells="1">
                  <from>
                    <xdr:col>9</xdr:col>
                    <xdr:colOff>177800</xdr:colOff>
                    <xdr:row>67</xdr:row>
                    <xdr:rowOff>152400</xdr:rowOff>
                  </from>
                  <to>
                    <xdr:col>12</xdr:col>
                    <xdr:colOff>685800</xdr:colOff>
                    <xdr:row>71</xdr:row>
                    <xdr:rowOff>76200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9461-96AD-8940-88EA-D15AF7E67B7E}">
  <sheetPr>
    <pageSetUpPr fitToPage="1"/>
  </sheetPr>
  <dimension ref="A1:R255"/>
  <sheetViews>
    <sheetView showGridLines="0" topLeftCell="A135" zoomScale="66" zoomScaleNormal="66" workbookViewId="0">
      <selection activeCell="T93" sqref="T93"/>
    </sheetView>
  </sheetViews>
  <sheetFormatPr baseColWidth="10" defaultRowHeight="16" x14ac:dyDescent="0.2"/>
  <cols>
    <col min="1" max="1" width="6.33203125" style="1" customWidth="1"/>
    <col min="2" max="3" width="10.83203125" style="1"/>
    <col min="4" max="4" width="12.6640625" style="1" customWidth="1"/>
    <col min="5" max="7" width="10.83203125" style="1"/>
    <col min="8" max="8" width="10.83203125" style="1" customWidth="1"/>
    <col min="9" max="16384" width="10.83203125" style="1"/>
  </cols>
  <sheetData>
    <row r="1" spans="2:15" ht="25" customHeight="1" x14ac:dyDescent="0.2"/>
    <row r="2" spans="2:15" ht="32" x14ac:dyDescent="0.4">
      <c r="B2" s="216" t="s">
        <v>174</v>
      </c>
      <c r="C2" s="150"/>
      <c r="D2" s="150"/>
      <c r="E2" s="150"/>
      <c r="F2" s="150"/>
      <c r="G2" s="150"/>
      <c r="H2" s="150"/>
      <c r="I2" s="150"/>
      <c r="J2" s="150"/>
      <c r="K2" s="150"/>
      <c r="L2" s="150"/>
      <c r="M2" s="150"/>
      <c r="N2" s="150"/>
      <c r="O2" s="150"/>
    </row>
    <row r="5" spans="2:15" ht="24" x14ac:dyDescent="0.3">
      <c r="B5" s="57" t="s">
        <v>0</v>
      </c>
      <c r="C5" s="55"/>
      <c r="D5" s="55"/>
      <c r="E5" s="55"/>
      <c r="F5" s="55"/>
      <c r="G5" s="55"/>
      <c r="H5" s="55"/>
      <c r="I5" s="55"/>
      <c r="J5" s="55"/>
      <c r="K5" s="55"/>
      <c r="L5" s="55"/>
      <c r="M5" s="55"/>
      <c r="N5" s="55"/>
      <c r="O5" s="55"/>
    </row>
    <row r="7" spans="2:15" ht="20" thickBot="1" x14ac:dyDescent="0.3">
      <c r="B7" s="1" t="s">
        <v>188</v>
      </c>
      <c r="F7" s="15">
        <v>2023</v>
      </c>
      <c r="G7" s="15">
        <v>2024</v>
      </c>
      <c r="H7" s="15">
        <v>2025</v>
      </c>
      <c r="I7" s="33" t="s">
        <v>1</v>
      </c>
      <c r="J7" s="33" t="s">
        <v>2</v>
      </c>
      <c r="K7" s="33" t="s">
        <v>3</v>
      </c>
      <c r="L7" s="33" t="s">
        <v>4</v>
      </c>
      <c r="M7" s="33" t="s">
        <v>5</v>
      </c>
      <c r="N7" s="33" t="s">
        <v>6</v>
      </c>
      <c r="O7" s="65" t="s">
        <v>111</v>
      </c>
    </row>
    <row r="8" spans="2:15" x14ac:dyDescent="0.2">
      <c r="F8"/>
      <c r="G8"/>
      <c r="H8"/>
    </row>
    <row r="10" spans="2:15" x14ac:dyDescent="0.2">
      <c r="B10" s="1" t="s">
        <v>72</v>
      </c>
      <c r="F10" s="22">
        <f>Inputs!F26</f>
        <v>0.433</v>
      </c>
      <c r="G10" s="16">
        <f>Inputs!G26</f>
        <v>0.46200000000000002</v>
      </c>
      <c r="H10" s="16">
        <f>Inputs!H26</f>
        <v>0.46899999999999997</v>
      </c>
      <c r="I10" s="16">
        <f>Inputs!I26</f>
        <v>0.47299999999999998</v>
      </c>
      <c r="J10" s="16">
        <f>Inputs!J26</f>
        <v>0.47899999999999998</v>
      </c>
      <c r="K10" s="16">
        <f>Inputs!K26</f>
        <v>0.48399999999999999</v>
      </c>
      <c r="L10" s="16">
        <f>Inputs!L26</f>
        <v>0.49</v>
      </c>
      <c r="M10" s="16">
        <f>Inputs!M26</f>
        <v>0.504</v>
      </c>
      <c r="N10" s="23">
        <f>Inputs!N26</f>
        <v>0.50900000000000001</v>
      </c>
      <c r="O10" s="67">
        <f>Inputs!O26</f>
        <v>0.51</v>
      </c>
    </row>
    <row r="11" spans="2:15" x14ac:dyDescent="0.2">
      <c r="B11" s="1" t="s">
        <v>92</v>
      </c>
      <c r="F11" s="22">
        <f>Inputs!F22</f>
        <v>0.08</v>
      </c>
      <c r="G11" s="16">
        <f>Inputs!G22</f>
        <v>0.08</v>
      </c>
      <c r="H11" s="16">
        <f>Inputs!H22</f>
        <v>0.08</v>
      </c>
      <c r="I11" s="16">
        <f>Inputs!I22</f>
        <v>0.08</v>
      </c>
      <c r="J11" s="16">
        <f>Inputs!J22</f>
        <v>0.08</v>
      </c>
      <c r="K11" s="16">
        <f>Inputs!K22</f>
        <v>0.08</v>
      </c>
      <c r="L11" s="16">
        <f>Inputs!L22</f>
        <v>0.08</v>
      </c>
      <c r="M11" s="16">
        <f>Inputs!M22</f>
        <v>0.08</v>
      </c>
      <c r="N11" s="23">
        <f>Inputs!N22</f>
        <v>0.08</v>
      </c>
      <c r="O11" s="67">
        <f>Inputs!O22</f>
        <v>0.08</v>
      </c>
    </row>
    <row r="12" spans="2:15" x14ac:dyDescent="0.2">
      <c r="B12" s="1" t="s">
        <v>93</v>
      </c>
      <c r="F12" s="22">
        <f>Inputs!F24</f>
        <v>7.0000000000000007E-2</v>
      </c>
      <c r="G12" s="16">
        <f>Inputs!G24</f>
        <v>7.0000000000000007E-2</v>
      </c>
      <c r="H12" s="16">
        <f>Inputs!H24</f>
        <v>7.0000000000000007E-2</v>
      </c>
      <c r="I12" s="16">
        <f>Inputs!I24</f>
        <v>7.0000000000000007E-2</v>
      </c>
      <c r="J12" s="16">
        <f>Inputs!J24</f>
        <v>7.0000000000000007E-2</v>
      </c>
      <c r="K12" s="16">
        <f>Inputs!K24</f>
        <v>7.0000000000000007E-2</v>
      </c>
      <c r="L12" s="16">
        <f>Inputs!L24</f>
        <v>7.0000000000000007E-2</v>
      </c>
      <c r="M12" s="16">
        <f>Inputs!M24</f>
        <v>7.0000000000000007E-2</v>
      </c>
      <c r="N12" s="23">
        <f>Inputs!N24</f>
        <v>7.0000000000000007E-2</v>
      </c>
      <c r="O12" s="66">
        <f>Inputs!O24</f>
        <v>7.0000000000000007E-2</v>
      </c>
    </row>
    <row r="13" spans="2:15" x14ac:dyDescent="0.2">
      <c r="F13" s="12"/>
      <c r="G13" s="12"/>
      <c r="H13" s="12"/>
      <c r="I13" s="12"/>
      <c r="J13" s="12"/>
      <c r="K13" s="12"/>
      <c r="L13" s="12"/>
      <c r="M13" s="12"/>
      <c r="N13" s="12"/>
    </row>
    <row r="14" spans="2:15" x14ac:dyDescent="0.2">
      <c r="B14" s="3"/>
      <c r="I14" s="1" t="s">
        <v>46</v>
      </c>
    </row>
    <row r="15" spans="2:15" x14ac:dyDescent="0.2">
      <c r="B15" s="38" t="s">
        <v>88</v>
      </c>
      <c r="F15" s="4">
        <v>383285</v>
      </c>
      <c r="G15" s="4">
        <v>391035</v>
      </c>
      <c r="H15" s="4">
        <v>416161</v>
      </c>
      <c r="I15" s="1">
        <f>H15*(1+Inputs!I10)</f>
        <v>446956.91400000005</v>
      </c>
      <c r="J15" s="1">
        <f>I15*(1+Inputs!J10)</f>
        <v>481819.55329200008</v>
      </c>
      <c r="K15" s="1">
        <f>J15*(1+Inputs!K10)</f>
        <v>521328.75666194415</v>
      </c>
      <c r="L15" s="1">
        <f>K15*(1+Inputs!L10)</f>
        <v>565641.70097820938</v>
      </c>
      <c r="M15" s="1">
        <f>L15*(1+Inputs!M10)</f>
        <v>616549.45406624826</v>
      </c>
      <c r="N15" s="1">
        <f>M15*(1+Inputs!N10)</f>
        <v>672963.72911330988</v>
      </c>
      <c r="O15" s="69">
        <f>N15*(1+Inputs!O10)</f>
        <v>689787.82234114257</v>
      </c>
    </row>
    <row r="16" spans="2:15" x14ac:dyDescent="0.2">
      <c r="B16" s="1" t="s">
        <v>87</v>
      </c>
      <c r="F16" s="4">
        <v>-214137</v>
      </c>
      <c r="G16" s="4">
        <v>-210352</v>
      </c>
      <c r="H16" s="4">
        <v>-220960</v>
      </c>
      <c r="I16" s="1">
        <f>(I15-I17)*-1</f>
        <v>-235546.29367800005</v>
      </c>
      <c r="J16" s="1">
        <f t="shared" ref="J16:N16" si="0">(J15-J17)*-1</f>
        <v>-251027.98726513205</v>
      </c>
      <c r="K16" s="1">
        <f t="shared" si="0"/>
        <v>-269005.6384375632</v>
      </c>
      <c r="L16" s="1">
        <f t="shared" si="0"/>
        <v>-288477.26749888679</v>
      </c>
      <c r="M16" s="1">
        <f t="shared" si="0"/>
        <v>-305808.52921685914</v>
      </c>
      <c r="N16" s="1">
        <f t="shared" si="0"/>
        <v>-330425.19099463517</v>
      </c>
      <c r="O16" s="70">
        <f t="shared" ref="O16" si="1">(O15-O17)*-1</f>
        <v>-337996.03294715984</v>
      </c>
    </row>
    <row r="17" spans="2:15" ht="17" thickBot="1" x14ac:dyDescent="0.25">
      <c r="B17" s="3" t="s">
        <v>7</v>
      </c>
      <c r="F17" s="2">
        <f>F15+F16</f>
        <v>169148</v>
      </c>
      <c r="G17" s="2">
        <f>G15+G16</f>
        <v>180683</v>
      </c>
      <c r="H17" s="2">
        <f>H15+H16</f>
        <v>195201</v>
      </c>
      <c r="I17" s="2">
        <f>I15*I10</f>
        <v>211410.620322</v>
      </c>
      <c r="J17" s="2">
        <f>J15*J10</f>
        <v>230791.56602686804</v>
      </c>
      <c r="K17" s="2">
        <f t="shared" ref="K17:N17" si="2">K15*K10</f>
        <v>252323.11822438097</v>
      </c>
      <c r="L17" s="2">
        <f t="shared" si="2"/>
        <v>277164.43347932259</v>
      </c>
      <c r="M17" s="2">
        <f t="shared" si="2"/>
        <v>310740.92484938912</v>
      </c>
      <c r="N17" s="2">
        <f t="shared" si="2"/>
        <v>342538.53811867471</v>
      </c>
      <c r="O17" s="68">
        <f t="shared" ref="O17" si="3">O15*O10</f>
        <v>351791.78939398273</v>
      </c>
    </row>
    <row r="19" spans="2:15" x14ac:dyDescent="0.2">
      <c r="B19" s="3" t="s">
        <v>8</v>
      </c>
    </row>
    <row r="20" spans="2:15" x14ac:dyDescent="0.2">
      <c r="B20" s="1" t="s">
        <v>190</v>
      </c>
      <c r="F20" s="4">
        <v>-29915</v>
      </c>
      <c r="G20" s="4">
        <v>-31370</v>
      </c>
      <c r="H20" s="4">
        <v>-34550</v>
      </c>
      <c r="I20" s="1">
        <f>I15*I11*-1</f>
        <v>-35756.553120000004</v>
      </c>
      <c r="J20" s="1">
        <f t="shared" ref="J20:N20" si="4">J15*J11*-1</f>
        <v>-38545.564263360007</v>
      </c>
      <c r="K20" s="39">
        <f t="shared" si="4"/>
        <v>-41706.300532955531</v>
      </c>
      <c r="L20" s="39">
        <f t="shared" si="4"/>
        <v>-45251.336078256754</v>
      </c>
      <c r="M20" s="39">
        <f t="shared" si="4"/>
        <v>-49323.956325299863</v>
      </c>
      <c r="N20" s="1">
        <f t="shared" si="4"/>
        <v>-53837.098329064793</v>
      </c>
      <c r="O20" s="69">
        <f t="shared" ref="O20" si="5">O15*O11*-1</f>
        <v>-55183.025787291408</v>
      </c>
    </row>
    <row r="21" spans="2:15" x14ac:dyDescent="0.2">
      <c r="B21" s="1" t="s">
        <v>9</v>
      </c>
      <c r="F21" s="4">
        <v>-24932</v>
      </c>
      <c r="G21" s="4">
        <v>-26097</v>
      </c>
      <c r="H21" s="4">
        <v>-27601</v>
      </c>
      <c r="I21" s="1">
        <f t="shared" ref="I21:N21" si="6">I15*I12*-1</f>
        <v>-31286.983980000005</v>
      </c>
      <c r="J21" s="1">
        <f t="shared" si="6"/>
        <v>-33727.368730440008</v>
      </c>
      <c r="K21" s="39">
        <f t="shared" si="6"/>
        <v>-36493.012966336093</v>
      </c>
      <c r="L21" s="39">
        <f t="shared" si="6"/>
        <v>-39594.919068474657</v>
      </c>
      <c r="M21" s="39">
        <f t="shared" si="6"/>
        <v>-43158.46178463738</v>
      </c>
      <c r="N21" s="1">
        <f t="shared" si="6"/>
        <v>-47107.461037931695</v>
      </c>
      <c r="O21" s="70">
        <f t="shared" ref="O21" si="7">O15*O12*-1</f>
        <v>-48285.147563879982</v>
      </c>
    </row>
    <row r="22" spans="2:15" ht="16" customHeight="1" x14ac:dyDescent="0.2">
      <c r="B22" s="119" t="s">
        <v>44</v>
      </c>
      <c r="C22" s="119"/>
      <c r="D22" s="119"/>
      <c r="E22" s="119"/>
      <c r="F22" s="228">
        <f t="shared" ref="F22:N22" si="8">SUM(F20:F21)</f>
        <v>-54847</v>
      </c>
      <c r="G22" s="228">
        <f t="shared" si="8"/>
        <v>-57467</v>
      </c>
      <c r="H22" s="228">
        <f t="shared" si="8"/>
        <v>-62151</v>
      </c>
      <c r="I22" s="228">
        <f t="shared" si="8"/>
        <v>-67043.537100000016</v>
      </c>
      <c r="J22" s="228">
        <f t="shared" si="8"/>
        <v>-72272.932993800016</v>
      </c>
      <c r="K22" s="228">
        <f t="shared" si="8"/>
        <v>-78199.313499291631</v>
      </c>
      <c r="L22" s="228">
        <f t="shared" si="8"/>
        <v>-84846.255146731419</v>
      </c>
      <c r="M22" s="228">
        <f t="shared" si="8"/>
        <v>-92482.418109937251</v>
      </c>
      <c r="N22" s="228">
        <f t="shared" si="8"/>
        <v>-100944.55936699649</v>
      </c>
      <c r="O22" s="229">
        <f t="shared" ref="O22" si="9">SUM(O20:O21)</f>
        <v>-103468.1733511714</v>
      </c>
    </row>
    <row r="24" spans="2:15" ht="17" thickBot="1" x14ac:dyDescent="0.25">
      <c r="B24" s="3"/>
      <c r="F24" s="2">
        <f t="shared" ref="F24:N24" si="10">F17+F22</f>
        <v>114301</v>
      </c>
      <c r="G24" s="2">
        <f t="shared" si="10"/>
        <v>123216</v>
      </c>
      <c r="H24" s="2">
        <f t="shared" si="10"/>
        <v>133050</v>
      </c>
      <c r="I24" s="2">
        <f t="shared" si="10"/>
        <v>144367.08322199999</v>
      </c>
      <c r="J24" s="2">
        <f t="shared" si="10"/>
        <v>158518.63303306804</v>
      </c>
      <c r="K24" s="2">
        <f t="shared" si="10"/>
        <v>174123.80472508934</v>
      </c>
      <c r="L24" s="2">
        <f t="shared" si="10"/>
        <v>192318.17833259117</v>
      </c>
      <c r="M24" s="2">
        <f t="shared" si="10"/>
        <v>218258.50673945187</v>
      </c>
      <c r="N24" s="2">
        <f t="shared" si="10"/>
        <v>241593.97875167822</v>
      </c>
      <c r="O24" s="68">
        <f t="shared" ref="O24" si="11">O17+O22</f>
        <v>248323.61604281134</v>
      </c>
    </row>
    <row r="26" spans="2:15" x14ac:dyDescent="0.2">
      <c r="B26" s="1" t="s">
        <v>10</v>
      </c>
      <c r="F26" s="4">
        <v>-565</v>
      </c>
      <c r="G26" s="4">
        <v>269</v>
      </c>
      <c r="H26" s="4">
        <v>-321</v>
      </c>
      <c r="I26" s="4">
        <v>0</v>
      </c>
      <c r="J26" s="4">
        <v>0</v>
      </c>
      <c r="K26" s="4">
        <v>0</v>
      </c>
      <c r="L26" s="4">
        <v>0</v>
      </c>
      <c r="M26" s="4">
        <v>0</v>
      </c>
      <c r="N26" s="4">
        <v>0</v>
      </c>
      <c r="O26" s="68">
        <v>0</v>
      </c>
    </row>
    <row r="28" spans="2:15" ht="17" thickBot="1" x14ac:dyDescent="0.25">
      <c r="B28" s="3" t="s">
        <v>11</v>
      </c>
      <c r="F28" s="2">
        <f>F24+F26</f>
        <v>113736</v>
      </c>
      <c r="G28" s="2">
        <f t="shared" ref="G28:H28" si="12">G24+G26</f>
        <v>123485</v>
      </c>
      <c r="H28" s="2">
        <f t="shared" si="12"/>
        <v>132729</v>
      </c>
      <c r="I28" s="2">
        <f>I24+I26</f>
        <v>144367.08322199999</v>
      </c>
      <c r="J28" s="2">
        <f t="shared" ref="J28:N28" si="13">J24+J26</f>
        <v>158518.63303306804</v>
      </c>
      <c r="K28" s="2">
        <f t="shared" si="13"/>
        <v>174123.80472508934</v>
      </c>
      <c r="L28" s="2">
        <f t="shared" si="13"/>
        <v>192318.17833259117</v>
      </c>
      <c r="M28" s="2">
        <f t="shared" si="13"/>
        <v>218258.50673945187</v>
      </c>
      <c r="N28" s="2">
        <f t="shared" si="13"/>
        <v>241593.97875167822</v>
      </c>
      <c r="O28" s="68">
        <f t="shared" ref="O28" si="14">O24+O26</f>
        <v>248323.61604281134</v>
      </c>
    </row>
    <row r="30" spans="2:15" x14ac:dyDescent="0.2">
      <c r="B30" s="1" t="s">
        <v>12</v>
      </c>
      <c r="F30" s="4">
        <v>-16741</v>
      </c>
      <c r="G30" s="4">
        <v>-29749</v>
      </c>
      <c r="H30" s="4">
        <v>-20719</v>
      </c>
      <c r="I30" s="1">
        <f>I28*Inputs!$F$37*-1</f>
        <v>-22376.897899409996</v>
      </c>
      <c r="J30" s="1">
        <f>J28*Inputs!$F$37*-1</f>
        <v>-24570.388120125546</v>
      </c>
      <c r="K30" s="1">
        <f>K28*Inputs!$F$37*-1</f>
        <v>-26989.189732388848</v>
      </c>
      <c r="L30" s="1">
        <f>L28*Inputs!$F$37*-1</f>
        <v>-29809.317641551632</v>
      </c>
      <c r="M30" s="1">
        <f>M28*Inputs!$F$37*-1</f>
        <v>-33830.068544615038</v>
      </c>
      <c r="N30" s="1">
        <f>N28*Inputs!$F$37*-1</f>
        <v>-37447.066706510122</v>
      </c>
      <c r="O30" s="68">
        <f>O28*Inputs!$F$37*-1</f>
        <v>-38490.160486635759</v>
      </c>
    </row>
    <row r="32" spans="2:15" ht="17" thickBot="1" x14ac:dyDescent="0.25">
      <c r="B32" s="3" t="s">
        <v>13</v>
      </c>
      <c r="F32" s="2">
        <f>F28+F30</f>
        <v>96995</v>
      </c>
      <c r="G32" s="2">
        <f t="shared" ref="G32:H32" si="15">G28+G30</f>
        <v>93736</v>
      </c>
      <c r="H32" s="2">
        <f t="shared" si="15"/>
        <v>112010</v>
      </c>
      <c r="I32" s="2">
        <f>I28+I30</f>
        <v>121990.18532259</v>
      </c>
      <c r="J32" s="2">
        <f t="shared" ref="J32:N32" si="16">J28+J30</f>
        <v>133948.24491294249</v>
      </c>
      <c r="K32" s="2">
        <f t="shared" si="16"/>
        <v>147134.61499270049</v>
      </c>
      <c r="L32" s="2">
        <f t="shared" si="16"/>
        <v>162508.86069103953</v>
      </c>
      <c r="M32" s="2">
        <f t="shared" si="16"/>
        <v>184428.43819483684</v>
      </c>
      <c r="N32" s="2">
        <f t="shared" si="16"/>
        <v>204146.91204516811</v>
      </c>
      <c r="O32" s="68">
        <f t="shared" ref="O32" si="17">O28+O30</f>
        <v>209833.45555617558</v>
      </c>
    </row>
    <row r="33" spans="2:18" x14ac:dyDescent="0.2">
      <c r="R33"/>
    </row>
    <row r="34" spans="2:18" x14ac:dyDescent="0.2">
      <c r="F34" s="12"/>
      <c r="G34" s="12"/>
      <c r="H34" s="12"/>
    </row>
    <row r="38" spans="2:18" ht="24" x14ac:dyDescent="0.3">
      <c r="B38" s="57" t="s">
        <v>14</v>
      </c>
      <c r="C38" s="58"/>
      <c r="D38" s="58"/>
      <c r="E38" s="58"/>
      <c r="F38" s="58"/>
      <c r="G38" s="58"/>
      <c r="H38" s="58"/>
      <c r="I38" s="58"/>
      <c r="J38" s="58"/>
      <c r="K38" s="58"/>
      <c r="L38" s="58"/>
      <c r="M38" s="58"/>
      <c r="N38" s="58"/>
      <c r="O38" s="55"/>
    </row>
    <row r="39" spans="2:18" ht="17" customHeight="1" x14ac:dyDescent="0.2"/>
    <row r="40" spans="2:18" ht="15" customHeight="1" thickBot="1" x14ac:dyDescent="0.3">
      <c r="B40" s="38" t="s">
        <v>188</v>
      </c>
      <c r="C40" s="38"/>
      <c r="D40" s="38"/>
      <c r="E40" s="38"/>
      <c r="F40" s="227">
        <v>2023</v>
      </c>
      <c r="G40" s="227">
        <v>2024</v>
      </c>
      <c r="H40" s="227">
        <v>2025</v>
      </c>
      <c r="I40" s="199" t="s">
        <v>1</v>
      </c>
      <c r="J40" s="199" t="s">
        <v>2</v>
      </c>
      <c r="K40" s="199" t="s">
        <v>3</v>
      </c>
      <c r="L40" s="199" t="s">
        <v>4</v>
      </c>
      <c r="M40" s="33" t="s">
        <v>5</v>
      </c>
      <c r="N40" s="33" t="s">
        <v>6</v>
      </c>
      <c r="O40" s="65" t="s">
        <v>111</v>
      </c>
    </row>
    <row r="41" spans="2:18" ht="13" customHeight="1" x14ac:dyDescent="0.2"/>
    <row r="42" spans="2:18" ht="18" customHeight="1" x14ac:dyDescent="0.3">
      <c r="B42" s="7" t="s">
        <v>28</v>
      </c>
    </row>
    <row r="43" spans="2:18" ht="22" x14ac:dyDescent="0.3">
      <c r="H43" s="8"/>
      <c r="I43" s="8"/>
    </row>
    <row r="44" spans="2:18" x14ac:dyDescent="0.2">
      <c r="B44" s="3" t="s">
        <v>15</v>
      </c>
    </row>
    <row r="45" spans="2:18" x14ac:dyDescent="0.2">
      <c r="B45" s="1" t="s">
        <v>16</v>
      </c>
      <c r="F45" s="4">
        <v>29965</v>
      </c>
      <c r="G45" s="4">
        <v>29943</v>
      </c>
      <c r="H45" s="4">
        <v>35934</v>
      </c>
      <c r="I45" s="1">
        <f>I135</f>
        <v>46263.759814776291</v>
      </c>
      <c r="J45" s="1">
        <f t="shared" ref="J45:N45" si="18">J135</f>
        <v>64863.416384167635</v>
      </c>
      <c r="K45" s="1">
        <f t="shared" si="18"/>
        <v>96682.188883016846</v>
      </c>
      <c r="L45" s="1">
        <f t="shared" si="18"/>
        <v>143590.9053244328</v>
      </c>
      <c r="M45" s="1">
        <f t="shared" si="18"/>
        <v>210906.51997216835</v>
      </c>
      <c r="N45" s="1">
        <f t="shared" si="18"/>
        <v>299246.92939103371</v>
      </c>
      <c r="O45" s="69">
        <f t="shared" ref="O45" si="19">O135</f>
        <v>392923.80996010837</v>
      </c>
    </row>
    <row r="46" spans="2:18" x14ac:dyDescent="0.2">
      <c r="B46" s="1" t="s">
        <v>17</v>
      </c>
      <c r="F46" s="4">
        <v>31590</v>
      </c>
      <c r="G46" s="4">
        <v>35228</v>
      </c>
      <c r="H46" s="4">
        <v>18763</v>
      </c>
      <c r="I46" s="4">
        <v>18763</v>
      </c>
      <c r="J46" s="4">
        <v>18763</v>
      </c>
      <c r="K46" s="4">
        <v>18763</v>
      </c>
      <c r="L46" s="4">
        <v>18763</v>
      </c>
      <c r="M46" s="4">
        <v>18763</v>
      </c>
      <c r="N46" s="4">
        <v>18763</v>
      </c>
      <c r="O46" s="61">
        <v>18763</v>
      </c>
    </row>
    <row r="47" spans="2:18" x14ac:dyDescent="0.2">
      <c r="B47" s="1" t="s">
        <v>18</v>
      </c>
      <c r="F47" s="4">
        <v>29508</v>
      </c>
      <c r="G47" s="4">
        <v>33410</v>
      </c>
      <c r="H47" s="4">
        <v>39777</v>
      </c>
      <c r="I47" s="1">
        <f>'Supporting schedules &amp; calc'!K164</f>
        <v>39185.263693150686</v>
      </c>
      <c r="J47" s="1">
        <f>'Supporting schedules &amp; calc'!L164</f>
        <v>42241.714261216446</v>
      </c>
      <c r="K47" s="1">
        <f>'Supporting schedules &amp; calc'!M164</f>
        <v>45705.534830636199</v>
      </c>
      <c r="L47" s="1">
        <f>'Supporting schedules &amp; calc'!N164</f>
        <v>49590.505291240275</v>
      </c>
      <c r="M47" s="1">
        <f>'Supporting schedules &amp; calc'!O164</f>
        <v>54053.650767451902</v>
      </c>
      <c r="N47" s="1">
        <f>'Supporting schedules &amp; calc'!P164</f>
        <v>58999.559812673746</v>
      </c>
      <c r="O47" s="70">
        <f>'Supporting schedules &amp; calc'!Q164</f>
        <v>60474.548807990584</v>
      </c>
    </row>
    <row r="48" spans="2:18" x14ac:dyDescent="0.2">
      <c r="B48" s="1" t="s">
        <v>19</v>
      </c>
      <c r="F48" s="4">
        <v>6331</v>
      </c>
      <c r="G48" s="4">
        <v>7286</v>
      </c>
      <c r="H48" s="4">
        <v>5718</v>
      </c>
      <c r="I48" s="1">
        <f>'Supporting schedules &amp; calc'!K165</f>
        <v>5807.9908030191791</v>
      </c>
      <c r="J48" s="1">
        <f>'Supporting schedules &amp; calc'!L165</f>
        <v>6189.7311928388726</v>
      </c>
      <c r="K48" s="1">
        <f>'Supporting schedules &amp; calc'!M165</f>
        <v>6633.0157422960792</v>
      </c>
      <c r="L48" s="1">
        <f>'Supporting schedules &amp; calc'!N165</f>
        <v>7113.138102712277</v>
      </c>
      <c r="M48" s="1">
        <f>'Supporting schedules &amp; calc'!O165</f>
        <v>7540.4842820595404</v>
      </c>
      <c r="N48" s="1">
        <f>'Supporting schedules &amp; calc'!P165</f>
        <v>8147.4704628814152</v>
      </c>
      <c r="O48" s="70">
        <f>'Supporting schedules &amp; calc'!Q165</f>
        <v>8334.1487576012005</v>
      </c>
    </row>
    <row r="49" spans="2:15" x14ac:dyDescent="0.2">
      <c r="B49" s="1" t="s">
        <v>20</v>
      </c>
      <c r="F49" s="4">
        <v>46172</v>
      </c>
      <c r="G49" s="4">
        <v>47120</v>
      </c>
      <c r="H49" s="4">
        <v>47765</v>
      </c>
      <c r="I49" s="4">
        <v>47765</v>
      </c>
      <c r="J49" s="4">
        <v>47765</v>
      </c>
      <c r="K49" s="4">
        <v>47765</v>
      </c>
      <c r="L49" s="4">
        <v>47765</v>
      </c>
      <c r="M49" s="4">
        <v>47765</v>
      </c>
      <c r="N49" s="4">
        <v>47765</v>
      </c>
      <c r="O49" s="61">
        <v>47765</v>
      </c>
    </row>
    <row r="50" spans="2:15" x14ac:dyDescent="0.2">
      <c r="B50" s="1" t="s">
        <v>21</v>
      </c>
      <c r="F50" s="5">
        <f>SUM(F45:F49)</f>
        <v>143566</v>
      </c>
      <c r="G50" s="5">
        <f>SUM(G45:G49)</f>
        <v>152987</v>
      </c>
      <c r="H50" s="5">
        <f>SUM(H45:H49)</f>
        <v>147957</v>
      </c>
      <c r="I50" s="5">
        <f>SUM(I45:I49)</f>
        <v>157785.01431094616</v>
      </c>
      <c r="J50" s="5">
        <f t="shared" ref="J50:N50" si="20">SUM(J45:J49)</f>
        <v>179822.86183822295</v>
      </c>
      <c r="K50" s="5">
        <f t="shared" si="20"/>
        <v>215548.73945594914</v>
      </c>
      <c r="L50" s="5">
        <f t="shared" si="20"/>
        <v>266822.54871838534</v>
      </c>
      <c r="M50" s="5">
        <f t="shared" si="20"/>
        <v>339028.65502167976</v>
      </c>
      <c r="N50" s="5">
        <f t="shared" si="20"/>
        <v>432921.95966658887</v>
      </c>
      <c r="O50" s="68">
        <f t="shared" ref="O50" si="21">SUM(O45:O49)</f>
        <v>528260.50752570014</v>
      </c>
    </row>
    <row r="52" spans="2:15" x14ac:dyDescent="0.2">
      <c r="B52" s="3" t="s">
        <v>22</v>
      </c>
    </row>
    <row r="53" spans="2:15" x14ac:dyDescent="0.2">
      <c r="B53" s="1" t="s">
        <v>23</v>
      </c>
      <c r="F53" s="4">
        <v>43715</v>
      </c>
      <c r="G53" s="4">
        <v>45680</v>
      </c>
      <c r="H53" s="4">
        <v>49834</v>
      </c>
      <c r="I53" s="1">
        <f>'Supporting schedules &amp; calc'!K185</f>
        <v>50727.913827999997</v>
      </c>
      <c r="J53" s="1">
        <f>'Supporting schedules &amp; calc'!L185</f>
        <v>51691.552934583997</v>
      </c>
      <c r="K53" s="1">
        <f>'Supporting schedules &amp; calc'!M185</f>
        <v>52734.210447907884</v>
      </c>
      <c r="L53" s="1">
        <f>'Supporting schedules &amp; calc'!N185</f>
        <v>53865.493849864302</v>
      </c>
      <c r="M53" s="1">
        <f>'Supporting schedules &amp; calc'!O185</f>
        <v>55098.592757996797</v>
      </c>
      <c r="N53" s="1">
        <f>'Supporting schedules &amp; calc'!P185</f>
        <v>56444.52021622342</v>
      </c>
      <c r="O53" s="69">
        <f>'Supporting schedules &amp; calc'!Q185</f>
        <v>56444.52021622342</v>
      </c>
    </row>
    <row r="54" spans="2:15" x14ac:dyDescent="0.2">
      <c r="B54" s="1" t="s">
        <v>24</v>
      </c>
      <c r="F54" s="4">
        <v>165302</v>
      </c>
      <c r="G54" s="4">
        <v>166313</v>
      </c>
      <c r="H54" s="4">
        <v>161450</v>
      </c>
      <c r="I54" s="4">
        <v>161450</v>
      </c>
      <c r="J54" s="4">
        <v>161450</v>
      </c>
      <c r="K54" s="4">
        <v>161450</v>
      </c>
      <c r="L54" s="4">
        <v>161450</v>
      </c>
      <c r="M54" s="4">
        <v>161450</v>
      </c>
      <c r="N54" s="4">
        <v>161450</v>
      </c>
      <c r="O54" s="61">
        <v>161450</v>
      </c>
    </row>
    <row r="55" spans="2:15" x14ac:dyDescent="0.2">
      <c r="B55" s="1" t="s">
        <v>25</v>
      </c>
      <c r="F55" s="5">
        <f>SUM(F53:F54)</f>
        <v>209017</v>
      </c>
      <c r="G55" s="5">
        <f>SUM(G53:G54)</f>
        <v>211993</v>
      </c>
      <c r="H55" s="5">
        <f>SUM(H53:H54)</f>
        <v>211284</v>
      </c>
      <c r="I55" s="5">
        <f>SUM(I53:I54)</f>
        <v>212177.91382799999</v>
      </c>
      <c r="J55" s="5">
        <f t="shared" ref="J55:N55" si="22">SUM(J53:J54)</f>
        <v>213141.552934584</v>
      </c>
      <c r="K55" s="5">
        <f t="shared" si="22"/>
        <v>214184.21044790788</v>
      </c>
      <c r="L55" s="5">
        <f t="shared" si="22"/>
        <v>215315.49384986429</v>
      </c>
      <c r="M55" s="5">
        <f t="shared" si="22"/>
        <v>216548.59275799681</v>
      </c>
      <c r="N55" s="5">
        <f t="shared" si="22"/>
        <v>217894.52021622343</v>
      </c>
      <c r="O55" s="68">
        <f t="shared" ref="O55" si="23">SUM(O53:O54)</f>
        <v>217894.52021622343</v>
      </c>
    </row>
    <row r="57" spans="2:15" ht="17" thickBot="1" x14ac:dyDescent="0.25">
      <c r="B57" s="3" t="s">
        <v>26</v>
      </c>
      <c r="F57" s="2">
        <f>F50+F55</f>
        <v>352583</v>
      </c>
      <c r="G57" s="2">
        <f>G50+G55</f>
        <v>364980</v>
      </c>
      <c r="H57" s="2">
        <f>H50+H55</f>
        <v>359241</v>
      </c>
      <c r="I57" s="2">
        <f>I50+I55</f>
        <v>369962.92813894618</v>
      </c>
      <c r="J57" s="2">
        <f t="shared" ref="J57:N57" si="24">J50+J55</f>
        <v>392964.41477280692</v>
      </c>
      <c r="K57" s="2">
        <f t="shared" si="24"/>
        <v>429732.94990385702</v>
      </c>
      <c r="L57" s="2">
        <f t="shared" si="24"/>
        <v>482138.04256824963</v>
      </c>
      <c r="M57" s="2">
        <f t="shared" si="24"/>
        <v>555577.24777967657</v>
      </c>
      <c r="N57" s="2">
        <f t="shared" si="24"/>
        <v>650816.47988281236</v>
      </c>
      <c r="O57" s="68">
        <f t="shared" ref="O57" si="25">O50+O55</f>
        <v>746155.02774192358</v>
      </c>
    </row>
    <row r="60" spans="2:15" ht="22" customHeight="1" x14ac:dyDescent="0.2"/>
    <row r="61" spans="2:15" ht="22" x14ac:dyDescent="0.3">
      <c r="B61" s="7" t="s">
        <v>29</v>
      </c>
      <c r="H61" s="8"/>
      <c r="I61" s="8"/>
    </row>
    <row r="63" spans="2:15" x14ac:dyDescent="0.2">
      <c r="B63" s="3" t="s">
        <v>27</v>
      </c>
    </row>
    <row r="64" spans="2:15" x14ac:dyDescent="0.2">
      <c r="B64" s="1" t="s">
        <v>30</v>
      </c>
      <c r="F64" s="4">
        <v>62611</v>
      </c>
      <c r="G64" s="4">
        <v>68960</v>
      </c>
      <c r="H64" s="4">
        <v>69860</v>
      </c>
      <c r="I64" s="1">
        <f>'Supporting schedules &amp; calc'!K163</f>
        <v>74213.215816356169</v>
      </c>
      <c r="J64" s="1">
        <f>'Supporting schedules &amp; calc'!L163</f>
        <v>79091.009686274483</v>
      </c>
      <c r="K64" s="1">
        <f>'Supporting schedules &amp; calc'!M163</f>
        <v>84755.201151561007</v>
      </c>
      <c r="L64" s="1">
        <f>'Supporting schedules &amp; calc'!N163</f>
        <v>90890.097979101309</v>
      </c>
      <c r="M64" s="1">
        <f>'Supporting schedules &amp; calc'!O163</f>
        <v>96350.632492983015</v>
      </c>
      <c r="N64" s="1">
        <f>'Supporting schedules &amp; calc'!P163</f>
        <v>104106.56702570696</v>
      </c>
      <c r="O64" s="69">
        <f>'Supporting schedules &amp; calc'!Q163</f>
        <v>106491.90079157091</v>
      </c>
    </row>
    <row r="65" spans="1:15" x14ac:dyDescent="0.2">
      <c r="B65" s="1" t="s">
        <v>31</v>
      </c>
      <c r="F65" s="4">
        <v>66890</v>
      </c>
      <c r="G65" s="4">
        <v>86553</v>
      </c>
      <c r="H65" s="4">
        <v>75442</v>
      </c>
      <c r="I65" s="4">
        <v>75442</v>
      </c>
      <c r="J65" s="4">
        <v>75442</v>
      </c>
      <c r="K65" s="4">
        <v>75442</v>
      </c>
      <c r="L65" s="4">
        <v>75442</v>
      </c>
      <c r="M65" s="4">
        <v>75442</v>
      </c>
      <c r="N65" s="4">
        <v>75442</v>
      </c>
      <c r="O65" s="61">
        <v>75442</v>
      </c>
    </row>
    <row r="66" spans="1:15" x14ac:dyDescent="0.2">
      <c r="B66" s="1" t="s">
        <v>76</v>
      </c>
      <c r="F66" s="4">
        <v>15807</v>
      </c>
      <c r="G66" s="4">
        <v>20879</v>
      </c>
      <c r="H66" s="4">
        <v>20329</v>
      </c>
      <c r="I66" s="4">
        <v>20329</v>
      </c>
      <c r="J66" s="4">
        <v>20329</v>
      </c>
      <c r="K66" s="4">
        <v>20329</v>
      </c>
      <c r="L66" s="4">
        <v>20329</v>
      </c>
      <c r="M66" s="4">
        <v>20329</v>
      </c>
      <c r="N66" s="4">
        <v>20329</v>
      </c>
      <c r="O66" s="61">
        <v>20329</v>
      </c>
    </row>
    <row r="67" spans="1:15" x14ac:dyDescent="0.2">
      <c r="B67" s="3" t="s">
        <v>32</v>
      </c>
      <c r="F67" s="5">
        <f>SUM(F64:F66)</f>
        <v>145308</v>
      </c>
      <c r="G67" s="5">
        <f>SUM(G64:G66)</f>
        <v>176392</v>
      </c>
      <c r="H67" s="5">
        <f>SUM(H64:H66)</f>
        <v>165631</v>
      </c>
      <c r="I67" s="5">
        <f>SUM(I64:I66)</f>
        <v>169984.21581635618</v>
      </c>
      <c r="J67" s="5">
        <f t="shared" ref="J67:N67" si="26">SUM(J64:J66)</f>
        <v>174862.00968627448</v>
      </c>
      <c r="K67" s="5">
        <f t="shared" si="26"/>
        <v>180526.20115156099</v>
      </c>
      <c r="L67" s="5">
        <f t="shared" si="26"/>
        <v>186661.09797910129</v>
      </c>
      <c r="M67" s="5">
        <f t="shared" si="26"/>
        <v>192121.63249298302</v>
      </c>
      <c r="N67" s="5">
        <f t="shared" si="26"/>
        <v>199877.56702570696</v>
      </c>
      <c r="O67" s="68">
        <f t="shared" ref="O67" si="27">SUM(O64:O66)</f>
        <v>202262.90079157089</v>
      </c>
    </row>
    <row r="69" spans="1:15" x14ac:dyDescent="0.2">
      <c r="B69" s="3" t="s">
        <v>33</v>
      </c>
    </row>
    <row r="70" spans="1:15" x14ac:dyDescent="0.2">
      <c r="B70" s="1" t="s">
        <v>34</v>
      </c>
      <c r="F70" s="4">
        <v>95281</v>
      </c>
      <c r="G70" s="4">
        <v>85750</v>
      </c>
      <c r="H70" s="4">
        <v>78328</v>
      </c>
      <c r="I70" s="4">
        <v>78328</v>
      </c>
      <c r="J70" s="4">
        <v>78328</v>
      </c>
      <c r="K70" s="4">
        <v>78328</v>
      </c>
      <c r="L70" s="4">
        <v>78328</v>
      </c>
      <c r="M70" s="4">
        <v>78328</v>
      </c>
      <c r="N70" s="4">
        <v>78328</v>
      </c>
      <c r="O70" s="63">
        <v>78328</v>
      </c>
    </row>
    <row r="71" spans="1:15" x14ac:dyDescent="0.2">
      <c r="B71" s="1" t="s">
        <v>35</v>
      </c>
      <c r="F71" s="4">
        <v>49848</v>
      </c>
      <c r="G71" s="4">
        <v>45888</v>
      </c>
      <c r="H71" s="4">
        <v>41549</v>
      </c>
      <c r="I71" s="4">
        <v>41549</v>
      </c>
      <c r="J71" s="4">
        <v>41549</v>
      </c>
      <c r="K71" s="4">
        <v>41549</v>
      </c>
      <c r="L71" s="4">
        <v>41549</v>
      </c>
      <c r="M71" s="4">
        <v>41549</v>
      </c>
      <c r="N71" s="4">
        <v>41549</v>
      </c>
      <c r="O71" s="61">
        <v>41549</v>
      </c>
    </row>
    <row r="72" spans="1:15" x14ac:dyDescent="0.2">
      <c r="B72" s="3" t="s">
        <v>36</v>
      </c>
      <c r="F72" s="5">
        <f>SUM(F70:F71)</f>
        <v>145129</v>
      </c>
      <c r="G72" s="5">
        <f>SUM(G70:G71)</f>
        <v>131638</v>
      </c>
      <c r="H72" s="5">
        <f>SUM(H70:H71)</f>
        <v>119877</v>
      </c>
      <c r="I72" s="5">
        <f>SUM(I70:I71)</f>
        <v>119877</v>
      </c>
      <c r="J72" s="5">
        <f t="shared" ref="J72:N72" si="28">SUM(J70:J71)</f>
        <v>119877</v>
      </c>
      <c r="K72" s="5">
        <f t="shared" si="28"/>
        <v>119877</v>
      </c>
      <c r="L72" s="5">
        <f t="shared" si="28"/>
        <v>119877</v>
      </c>
      <c r="M72" s="5">
        <f t="shared" si="28"/>
        <v>119877</v>
      </c>
      <c r="N72" s="5">
        <f t="shared" si="28"/>
        <v>119877</v>
      </c>
      <c r="O72" s="68">
        <f t="shared" ref="O72" si="29">SUM(O70:O71)</f>
        <v>119877</v>
      </c>
    </row>
    <row r="73" spans="1:15" x14ac:dyDescent="0.2">
      <c r="B73" s="3"/>
    </row>
    <row r="74" spans="1:15" ht="17" thickBot="1" x14ac:dyDescent="0.25">
      <c r="B74" s="3" t="s">
        <v>37</v>
      </c>
      <c r="F74" s="2">
        <f>F67+F72</f>
        <v>290437</v>
      </c>
      <c r="G74" s="2">
        <f>G67+G72</f>
        <v>308030</v>
      </c>
      <c r="H74" s="2">
        <f>H67+H72</f>
        <v>285508</v>
      </c>
      <c r="I74" s="2">
        <f>I67+I72</f>
        <v>289861.21581635618</v>
      </c>
      <c r="J74" s="2">
        <f t="shared" ref="J74:N74" si="30">J67+J72</f>
        <v>294739.00968627445</v>
      </c>
      <c r="K74" s="2">
        <f t="shared" si="30"/>
        <v>300403.20115156099</v>
      </c>
      <c r="L74" s="2">
        <f t="shared" si="30"/>
        <v>306538.09797910129</v>
      </c>
      <c r="M74" s="2">
        <f t="shared" si="30"/>
        <v>311998.63249298302</v>
      </c>
      <c r="N74" s="2">
        <f t="shared" si="30"/>
        <v>319754.56702570699</v>
      </c>
      <c r="O74" s="68">
        <f t="shared" ref="O74" si="31">O67+O72</f>
        <v>322139.90079157089</v>
      </c>
    </row>
    <row r="77" spans="1:15" ht="19" x14ac:dyDescent="0.25">
      <c r="B77" s="9" t="s">
        <v>45</v>
      </c>
    </row>
    <row r="78" spans="1:15" x14ac:dyDescent="0.2">
      <c r="A78" s="1" t="s">
        <v>46</v>
      </c>
    </row>
    <row r="79" spans="1:15" x14ac:dyDescent="0.2">
      <c r="B79" s="1" t="s">
        <v>187</v>
      </c>
      <c r="F79" s="4">
        <v>73812</v>
      </c>
      <c r="G79" s="4">
        <v>83276</v>
      </c>
      <c r="H79" s="4">
        <v>93568</v>
      </c>
      <c r="I79" s="4">
        <v>93568</v>
      </c>
      <c r="J79" s="4">
        <v>93568</v>
      </c>
      <c r="K79" s="4">
        <v>93568</v>
      </c>
      <c r="L79" s="4">
        <v>93568</v>
      </c>
      <c r="M79" s="4">
        <v>93568</v>
      </c>
      <c r="N79" s="4">
        <v>93568</v>
      </c>
      <c r="O79" s="63">
        <v>93568</v>
      </c>
    </row>
    <row r="80" spans="1:15" x14ac:dyDescent="0.2">
      <c r="B80" s="1" t="s">
        <v>108</v>
      </c>
      <c r="F80" s="4">
        <v>-214</v>
      </c>
      <c r="G80" s="4">
        <v>-19154</v>
      </c>
      <c r="H80" s="4">
        <v>-14264</v>
      </c>
      <c r="I80" s="1">
        <f>H80+I32+I124+I125</f>
        <v>-7895.2876774100005</v>
      </c>
      <c r="J80" s="1">
        <f t="shared" ref="J80:N80" si="32">I80+J32+J124+J125</f>
        <v>10228.405086532497</v>
      </c>
      <c r="K80" s="1">
        <f t="shared" si="32"/>
        <v>41332.748752296</v>
      </c>
      <c r="L80" s="1">
        <f t="shared" si="32"/>
        <v>87602.944589148363</v>
      </c>
      <c r="M80" s="1">
        <f t="shared" si="32"/>
        <v>155581.61528669362</v>
      </c>
      <c r="N80" s="1">
        <f t="shared" si="32"/>
        <v>243064.91285710532</v>
      </c>
      <c r="O80" s="70">
        <f t="shared" ref="O80" si="33">N80+O32+O124+O125</f>
        <v>336018.12695035269</v>
      </c>
    </row>
    <row r="81" spans="2:15" x14ac:dyDescent="0.2">
      <c r="B81" s="1" t="s">
        <v>47</v>
      </c>
      <c r="F81" s="4">
        <v>-11452</v>
      </c>
      <c r="G81" s="4">
        <v>-7172</v>
      </c>
      <c r="H81" s="4">
        <v>-5571</v>
      </c>
      <c r="I81" s="4">
        <v>-5571</v>
      </c>
      <c r="J81" s="4">
        <v>-5571</v>
      </c>
      <c r="K81" s="4">
        <v>-5571</v>
      </c>
      <c r="L81" s="4">
        <v>-5571</v>
      </c>
      <c r="M81" s="4">
        <v>-5571</v>
      </c>
      <c r="N81" s="4">
        <v>-5571</v>
      </c>
      <c r="O81" s="61">
        <v>-5571</v>
      </c>
    </row>
    <row r="82" spans="2:15" x14ac:dyDescent="0.2">
      <c r="B82" s="1" t="s">
        <v>48</v>
      </c>
      <c r="F82" s="5">
        <f>SUM(F79:F81)</f>
        <v>62146</v>
      </c>
      <c r="G82" s="5">
        <f>SUM(G79:G81)</f>
        <v>56950</v>
      </c>
      <c r="H82" s="5">
        <f>SUM(H79:H81)</f>
        <v>73733</v>
      </c>
      <c r="I82" s="5">
        <f>SUM(I79:I81)</f>
        <v>80101.71232259</v>
      </c>
      <c r="J82" s="5">
        <f t="shared" ref="J82:N82" si="34">SUM(J79:J81)</f>
        <v>98225.405086532497</v>
      </c>
      <c r="K82" s="5">
        <f t="shared" si="34"/>
        <v>129329.748752296</v>
      </c>
      <c r="L82" s="5">
        <f t="shared" si="34"/>
        <v>175599.94458914836</v>
      </c>
      <c r="M82" s="5">
        <f t="shared" si="34"/>
        <v>243578.61528669362</v>
      </c>
      <c r="N82" s="5">
        <f t="shared" si="34"/>
        <v>331061.91285710532</v>
      </c>
      <c r="O82" s="68">
        <f t="shared" ref="O82" si="35">SUM(O79:O81)</f>
        <v>424015.12695035269</v>
      </c>
    </row>
    <row r="84" spans="2:15" ht="17" thickBot="1" x14ac:dyDescent="0.25">
      <c r="B84" s="1" t="s">
        <v>49</v>
      </c>
      <c r="F84" s="2">
        <f>F82+F74</f>
        <v>352583</v>
      </c>
      <c r="G84" s="2">
        <f>G82+G74</f>
        <v>364980</v>
      </c>
      <c r="H84" s="2">
        <f>H82+H74</f>
        <v>359241</v>
      </c>
      <c r="I84" s="2">
        <f>I74+I82</f>
        <v>369962.92813894618</v>
      </c>
      <c r="J84" s="2">
        <f t="shared" ref="J84:N84" si="36">J74+J82</f>
        <v>392964.41477280692</v>
      </c>
      <c r="K84" s="2">
        <f t="shared" si="36"/>
        <v>429732.94990385696</v>
      </c>
      <c r="L84" s="2">
        <f t="shared" si="36"/>
        <v>482138.04256824963</v>
      </c>
      <c r="M84" s="2">
        <f t="shared" si="36"/>
        <v>555577.24777967669</v>
      </c>
      <c r="N84" s="2">
        <f t="shared" si="36"/>
        <v>650816.47988281236</v>
      </c>
      <c r="O84" s="68">
        <f t="shared" ref="O84" si="37">O74+O82</f>
        <v>746155.02774192358</v>
      </c>
    </row>
    <row r="87" spans="2:15" ht="17" thickBot="1" x14ac:dyDescent="0.25">
      <c r="B87" s="1" t="s">
        <v>38</v>
      </c>
      <c r="F87" s="52" t="str">
        <f>IF(F57-F84&lt;1," - ","Yes")</f>
        <v xml:space="preserve"> - </v>
      </c>
      <c r="G87" s="52" t="str">
        <f t="shared" ref="G87:N87" si="38">IF(G57-G84&lt;1," - ","Yes")</f>
        <v xml:space="preserve"> - </v>
      </c>
      <c r="H87" s="52" t="str">
        <f t="shared" si="38"/>
        <v xml:space="preserve"> - </v>
      </c>
      <c r="I87" s="52" t="str">
        <f t="shared" si="38"/>
        <v xml:space="preserve"> - </v>
      </c>
      <c r="J87" s="52" t="str">
        <f t="shared" si="38"/>
        <v xml:space="preserve"> - </v>
      </c>
      <c r="K87" s="52" t="str">
        <f t="shared" si="38"/>
        <v xml:space="preserve"> - </v>
      </c>
      <c r="L87" s="52" t="str">
        <f t="shared" si="38"/>
        <v xml:space="preserve"> - </v>
      </c>
      <c r="M87" s="52" t="str">
        <f t="shared" si="38"/>
        <v xml:space="preserve"> - </v>
      </c>
      <c r="N87" s="52" t="str">
        <f t="shared" si="38"/>
        <v xml:space="preserve"> - </v>
      </c>
      <c r="O87" s="230" t="str">
        <f t="shared" ref="O87" si="39">IF(O57-O84&lt;1," - ","Yes")</f>
        <v xml:space="preserve"> - </v>
      </c>
    </row>
    <row r="88" spans="2:15" ht="17" thickTop="1" x14ac:dyDescent="0.2"/>
    <row r="93" spans="2:15" ht="24" x14ac:dyDescent="0.3">
      <c r="B93" s="57" t="s">
        <v>50</v>
      </c>
      <c r="C93" s="55"/>
      <c r="D93" s="55"/>
      <c r="E93" s="55"/>
      <c r="F93" s="55"/>
      <c r="G93" s="55"/>
      <c r="H93" s="55"/>
      <c r="I93" s="55"/>
      <c r="J93" s="55"/>
      <c r="K93" s="55"/>
      <c r="L93" s="55"/>
      <c r="M93" s="55"/>
      <c r="N93" s="55"/>
      <c r="O93" s="55"/>
    </row>
    <row r="95" spans="2:15" ht="20" thickBot="1" x14ac:dyDescent="0.3">
      <c r="B95" s="1" t="s">
        <v>188</v>
      </c>
      <c r="F95" s="15">
        <v>2023</v>
      </c>
      <c r="G95" s="15">
        <v>2024</v>
      </c>
      <c r="H95" s="15">
        <v>2025</v>
      </c>
      <c r="I95" s="33" t="s">
        <v>1</v>
      </c>
      <c r="J95" s="33" t="s">
        <v>2</v>
      </c>
      <c r="K95" s="33" t="s">
        <v>3</v>
      </c>
      <c r="L95" s="33" t="s">
        <v>4</v>
      </c>
      <c r="M95" s="33" t="s">
        <v>5</v>
      </c>
      <c r="N95" s="33" t="s">
        <v>6</v>
      </c>
      <c r="O95" s="65" t="s">
        <v>111</v>
      </c>
    </row>
    <row r="98" spans="2:15" x14ac:dyDescent="0.2">
      <c r="F98" s="40"/>
      <c r="G98" s="40"/>
      <c r="H98" s="40"/>
    </row>
    <row r="99" spans="2:15" ht="19" x14ac:dyDescent="0.25">
      <c r="B99" s="9" t="s">
        <v>51</v>
      </c>
    </row>
    <row r="101" spans="2:15" x14ac:dyDescent="0.2">
      <c r="B101" s="1" t="s">
        <v>13</v>
      </c>
      <c r="F101" s="4">
        <v>96995</v>
      </c>
      <c r="G101" s="4">
        <v>93736</v>
      </c>
      <c r="H101" s="4">
        <v>112010</v>
      </c>
      <c r="I101" s="1">
        <f>I32</f>
        <v>121990.18532259</v>
      </c>
      <c r="J101" s="1">
        <f t="shared" ref="J101:N101" si="40">J32</f>
        <v>133948.24491294249</v>
      </c>
      <c r="K101" s="1">
        <f t="shared" si="40"/>
        <v>147134.61499270049</v>
      </c>
      <c r="L101" s="1">
        <f t="shared" si="40"/>
        <v>162508.86069103953</v>
      </c>
      <c r="M101" s="1">
        <f t="shared" si="40"/>
        <v>184428.43819483684</v>
      </c>
      <c r="N101" s="1">
        <f t="shared" si="40"/>
        <v>204146.91204516811</v>
      </c>
      <c r="O101" s="69">
        <f t="shared" ref="O101" si="41">O32</f>
        <v>209833.45555617558</v>
      </c>
    </row>
    <row r="102" spans="2:15" x14ac:dyDescent="0.2">
      <c r="B102" s="1" t="s">
        <v>52</v>
      </c>
      <c r="F102" s="4">
        <v>11519</v>
      </c>
      <c r="G102" s="4">
        <v>11445</v>
      </c>
      <c r="H102" s="4">
        <v>11698</v>
      </c>
      <c r="I102" s="1">
        <f>'Supporting schedules &amp; calc'!K191</f>
        <v>12514.793592000002</v>
      </c>
      <c r="J102" s="1">
        <f>'Supporting schedules &amp; calc'!L191</f>
        <v>13490.947492176003</v>
      </c>
      <c r="K102" s="1">
        <f>'Supporting schedules &amp; calc'!M191</f>
        <v>14597.205186534437</v>
      </c>
      <c r="L102" s="1">
        <f>'Supporting schedules &amp; calc'!N191</f>
        <v>15837.967627389862</v>
      </c>
      <c r="M102" s="1">
        <f>'Supporting schedules &amp; calc'!O191</f>
        <v>17263.38471385495</v>
      </c>
      <c r="N102" s="1">
        <f>'Supporting schedules &amp; calc'!P191</f>
        <v>18842.984415172676</v>
      </c>
      <c r="O102" s="70">
        <f>'Supporting schedules &amp; calc'!Q191</f>
        <v>19314.059025551993</v>
      </c>
    </row>
    <row r="103" spans="2:15" x14ac:dyDescent="0.2">
      <c r="B103" s="1" t="s">
        <v>53</v>
      </c>
      <c r="F103" s="4">
        <v>8606</v>
      </c>
      <c r="G103" s="4">
        <v>9422</v>
      </c>
      <c r="H103" s="4">
        <v>12774</v>
      </c>
      <c r="I103" s="4">
        <v>0</v>
      </c>
      <c r="J103" s="4">
        <v>0</v>
      </c>
      <c r="K103" s="4">
        <v>0</v>
      </c>
      <c r="L103" s="4">
        <v>0</v>
      </c>
      <c r="M103" s="4">
        <v>0</v>
      </c>
      <c r="N103" s="4">
        <v>0</v>
      </c>
      <c r="O103" s="62">
        <v>0</v>
      </c>
    </row>
    <row r="105" spans="2:15" x14ac:dyDescent="0.2">
      <c r="B105" s="3" t="s">
        <v>54</v>
      </c>
    </row>
    <row r="106" spans="2:15" x14ac:dyDescent="0.2">
      <c r="B106" s="1" t="s">
        <v>55</v>
      </c>
      <c r="F106" s="4">
        <v>-1688</v>
      </c>
      <c r="G106" s="4">
        <v>-3788</v>
      </c>
      <c r="H106" s="4">
        <v>-6682</v>
      </c>
      <c r="I106" s="1">
        <f>'Supporting schedules &amp; calc'!K171</f>
        <v>591.73630684931413</v>
      </c>
      <c r="J106" s="1">
        <f>'Supporting schedules &amp; calc'!L171</f>
        <v>-3056.4505680657603</v>
      </c>
      <c r="K106" s="1">
        <f>'Supporting schedules &amp; calc'!M171</f>
        <v>-3463.8205694197532</v>
      </c>
      <c r="L106" s="1">
        <f>'Supporting schedules &amp; calc'!N171</f>
        <v>-3884.9704606040759</v>
      </c>
      <c r="M106" s="1">
        <f>'Supporting schedules &amp; calc'!O171</f>
        <v>-4463.1454762116264</v>
      </c>
      <c r="N106" s="1">
        <f>'Supporting schedules &amp; calc'!P171</f>
        <v>-4945.9090452218443</v>
      </c>
      <c r="O106" s="69">
        <f>'Supporting schedules &amp; calc'!Q171</f>
        <v>-1474.9889953168386</v>
      </c>
    </row>
    <row r="107" spans="2:15" x14ac:dyDescent="0.2">
      <c r="B107" s="1" t="s">
        <v>19</v>
      </c>
      <c r="F107" s="4">
        <v>-1618</v>
      </c>
      <c r="G107" s="4">
        <v>-1046</v>
      </c>
      <c r="H107" s="4">
        <v>1400</v>
      </c>
      <c r="I107" s="1">
        <f>'Supporting schedules &amp; calc'!K172</f>
        <v>-89.990803019179111</v>
      </c>
      <c r="J107" s="1">
        <f>'Supporting schedules &amp; calc'!L172</f>
        <v>-381.74038981969352</v>
      </c>
      <c r="K107" s="1">
        <f>'Supporting schedules &amp; calc'!M172</f>
        <v>-443.28454945720659</v>
      </c>
      <c r="L107" s="1">
        <f>'Supporting schedules &amp; calc'!N172</f>
        <v>-480.12236041619781</v>
      </c>
      <c r="M107" s="1">
        <f>'Supporting schedules &amp; calc'!O172</f>
        <v>-427.34617934726339</v>
      </c>
      <c r="N107" s="1">
        <f>'Supporting schedules &amp; calc'!P172</f>
        <v>-606.98618082187477</v>
      </c>
      <c r="O107" s="70">
        <f>'Supporting schedules &amp; calc'!Q172</f>
        <v>-186.6782947197853</v>
      </c>
    </row>
    <row r="108" spans="2:15" x14ac:dyDescent="0.2">
      <c r="B108" s="1" t="s">
        <v>56</v>
      </c>
      <c r="F108" s="4">
        <v>-1889</v>
      </c>
      <c r="G108" s="4">
        <v>6020</v>
      </c>
      <c r="H108" s="4">
        <v>902</v>
      </c>
      <c r="I108" s="1">
        <f>'Supporting schedules &amp; calc'!K170</f>
        <v>4353.2158163561689</v>
      </c>
      <c r="J108" s="1">
        <f>'Supporting schedules &amp; calc'!L170</f>
        <v>4877.7938699183142</v>
      </c>
      <c r="K108" s="1">
        <f>'Supporting schedules &amp; calc'!M170</f>
        <v>5664.1914652865235</v>
      </c>
      <c r="L108" s="1">
        <f>'Supporting schedules &amp; calc'!N170</f>
        <v>6134.8968275403022</v>
      </c>
      <c r="M108" s="1">
        <f>'Supporting schedules &amp; calc'!O170</f>
        <v>5460.5345138817065</v>
      </c>
      <c r="N108" s="1">
        <f>'Supporting schedules &amp; calc'!P170</f>
        <v>7755.9345327239425</v>
      </c>
      <c r="O108" s="70">
        <f>'Supporting schedules &amp; calc'!Q170</f>
        <v>2385.3337658639502</v>
      </c>
    </row>
    <row r="109" spans="2:15" x14ac:dyDescent="0.2">
      <c r="B109" s="1" t="s">
        <v>53</v>
      </c>
      <c r="F109" s="4">
        <v>-1382</v>
      </c>
      <c r="G109" s="4">
        <v>2465</v>
      </c>
      <c r="H109" s="4">
        <v>-20620</v>
      </c>
      <c r="I109" s="4">
        <v>0</v>
      </c>
      <c r="J109" s="4">
        <v>0</v>
      </c>
      <c r="K109" s="4">
        <v>0</v>
      </c>
      <c r="L109" s="4">
        <v>0</v>
      </c>
      <c r="M109" s="4">
        <v>0</v>
      </c>
      <c r="N109" s="4">
        <v>0</v>
      </c>
      <c r="O109" s="61">
        <v>0</v>
      </c>
    </row>
    <row r="110" spans="2:15" ht="17" thickBot="1" x14ac:dyDescent="0.25">
      <c r="B110" s="3" t="s">
        <v>57</v>
      </c>
      <c r="F110" s="2">
        <f>SUM(F101:F109)</f>
        <v>110543</v>
      </c>
      <c r="G110" s="2">
        <f>SUM(G101:G109)</f>
        <v>118254</v>
      </c>
      <c r="H110" s="2">
        <f>SUM(H101:H109)</f>
        <v>111482</v>
      </c>
      <c r="I110" s="2">
        <f>SUM(I101:I109)</f>
        <v>139359.9402347763</v>
      </c>
      <c r="J110" s="2">
        <f t="shared" ref="J110:N110" si="42">SUM(J101:J109)</f>
        <v>148878.79531715135</v>
      </c>
      <c r="K110" s="2">
        <f t="shared" si="42"/>
        <v>163488.90652564453</v>
      </c>
      <c r="L110" s="2">
        <f t="shared" si="42"/>
        <v>180116.6323249494</v>
      </c>
      <c r="M110" s="2">
        <f t="shared" si="42"/>
        <v>202261.86576701462</v>
      </c>
      <c r="N110" s="2">
        <f t="shared" si="42"/>
        <v>225192.93576702103</v>
      </c>
      <c r="O110" s="232">
        <f t="shared" ref="O110" si="43">SUM(O101:O109)</f>
        <v>229871.1810575549</v>
      </c>
    </row>
    <row r="114" spans="2:15" ht="19" x14ac:dyDescent="0.25">
      <c r="B114" s="9" t="s">
        <v>58</v>
      </c>
    </row>
    <row r="116" spans="2:15" x14ac:dyDescent="0.2">
      <c r="B116" s="1" t="s">
        <v>59</v>
      </c>
      <c r="F116" s="4">
        <v>-10959</v>
      </c>
      <c r="G116" s="4">
        <v>-9447</v>
      </c>
      <c r="H116" s="4">
        <v>-12715</v>
      </c>
      <c r="I116" s="1">
        <f>'Supporting schedules &amp; calc'!K188</f>
        <v>-13408.707420000001</v>
      </c>
      <c r="J116" s="1">
        <f>'Supporting schedules &amp; calc'!L188</f>
        <v>-14454.586598760003</v>
      </c>
      <c r="K116" s="1">
        <f>'Supporting schedules &amp; calc'!M188</f>
        <v>-15639.862699858324</v>
      </c>
      <c r="L116" s="1">
        <f>'Supporting schedules &amp; calc'!N188</f>
        <v>-16969.25102934628</v>
      </c>
      <c r="M116" s="1">
        <f>'Supporting schedules &amp; calc'!O188</f>
        <v>-18496.483621987449</v>
      </c>
      <c r="N116" s="1">
        <f>'Supporting schedules &amp; calc'!P188</f>
        <v>-20188.911873399295</v>
      </c>
      <c r="O116" s="69">
        <f>'Supporting schedules &amp; calc'!Q188</f>
        <v>-19314.059025551993</v>
      </c>
    </row>
    <row r="117" spans="2:15" x14ac:dyDescent="0.2">
      <c r="B117" s="1" t="s">
        <v>53</v>
      </c>
      <c r="F117" s="4">
        <v>14664</v>
      </c>
      <c r="G117" s="4">
        <v>12382</v>
      </c>
      <c r="H117" s="4">
        <v>27910</v>
      </c>
      <c r="I117" s="4">
        <v>0</v>
      </c>
      <c r="J117" s="4">
        <v>0</v>
      </c>
      <c r="K117" s="4">
        <v>0</v>
      </c>
      <c r="L117" s="4">
        <v>0</v>
      </c>
      <c r="M117" s="4">
        <v>0</v>
      </c>
      <c r="N117" s="4">
        <v>0</v>
      </c>
      <c r="O117" s="61">
        <v>0</v>
      </c>
    </row>
    <row r="118" spans="2:15" ht="17" thickBot="1" x14ac:dyDescent="0.25">
      <c r="B118" s="3" t="s">
        <v>60</v>
      </c>
      <c r="F118" s="2">
        <f>SUM(F116:F117)</f>
        <v>3705</v>
      </c>
      <c r="G118" s="2">
        <f>SUM(G116:G117)</f>
        <v>2935</v>
      </c>
      <c r="H118" s="2">
        <f>SUM(H116:H117)</f>
        <v>15195</v>
      </c>
      <c r="I118" s="2">
        <f>SUM(I116:I117)</f>
        <v>-13408.707420000001</v>
      </c>
      <c r="J118" s="2">
        <f t="shared" ref="J118:N118" si="44">SUM(J116:J117)</f>
        <v>-14454.586598760003</v>
      </c>
      <c r="K118" s="2">
        <f t="shared" si="44"/>
        <v>-15639.862699858324</v>
      </c>
      <c r="L118" s="2">
        <f t="shared" si="44"/>
        <v>-16969.25102934628</v>
      </c>
      <c r="M118" s="2">
        <f t="shared" si="44"/>
        <v>-18496.483621987449</v>
      </c>
      <c r="N118" s="2">
        <f t="shared" si="44"/>
        <v>-20188.911873399295</v>
      </c>
      <c r="O118" s="232">
        <f t="shared" ref="O118" si="45">SUM(O116:O117)</f>
        <v>-19314.059025551993</v>
      </c>
    </row>
    <row r="121" spans="2:15" x14ac:dyDescent="0.2">
      <c r="J121" s="4"/>
      <c r="K121" s="4"/>
      <c r="L121" s="4"/>
    </row>
    <row r="122" spans="2:15" ht="19" x14ac:dyDescent="0.25">
      <c r="B122" s="9" t="s">
        <v>61</v>
      </c>
      <c r="J122" s="4"/>
      <c r="K122" s="4"/>
      <c r="L122" s="4"/>
    </row>
    <row r="123" spans="2:15" x14ac:dyDescent="0.2">
      <c r="J123" s="4"/>
      <c r="K123" s="4"/>
      <c r="L123" s="4"/>
    </row>
    <row r="124" spans="2:15" x14ac:dyDescent="0.2">
      <c r="B124" s="1" t="s">
        <v>191</v>
      </c>
      <c r="F124" s="4">
        <v>-15025</v>
      </c>
      <c r="G124" s="4">
        <v>-15234</v>
      </c>
      <c r="H124" s="4">
        <v>-15421</v>
      </c>
      <c r="I124" s="1">
        <f>H124*(1+Inputs!$F$38)</f>
        <v>-15621.472999999998</v>
      </c>
      <c r="J124" s="1">
        <f>I124*(1+Inputs!$F$38)</f>
        <v>-15824.552148999997</v>
      </c>
      <c r="K124" s="1">
        <f>J124*(1+Inputs!$F$38)</f>
        <v>-16030.271326936996</v>
      </c>
      <c r="L124" s="1">
        <f>K124*(1+Inputs!$F$38)</f>
        <v>-16238.664854187175</v>
      </c>
      <c r="M124" s="1">
        <f>L124*(1+Inputs!$F$38)</f>
        <v>-16449.767497291607</v>
      </c>
      <c r="N124" s="1">
        <f>M124*(1+Inputs!$F$38)</f>
        <v>-16663.614474756396</v>
      </c>
      <c r="O124" s="69">
        <f>N124*(1+Inputs!$F$38)</f>
        <v>-16880.241462928228</v>
      </c>
    </row>
    <row r="125" spans="2:15" x14ac:dyDescent="0.2">
      <c r="B125" s="1" t="s">
        <v>62</v>
      </c>
      <c r="F125" s="4">
        <v>-77550</v>
      </c>
      <c r="G125" s="4">
        <v>-94949</v>
      </c>
      <c r="H125" s="4">
        <v>-90711</v>
      </c>
      <c r="I125" s="4">
        <v>-100000</v>
      </c>
      <c r="J125" s="4">
        <v>-100000</v>
      </c>
      <c r="K125" s="4">
        <v>-100000</v>
      </c>
      <c r="L125" s="4">
        <v>-100000</v>
      </c>
      <c r="M125" s="4">
        <v>-100000</v>
      </c>
      <c r="N125" s="4">
        <v>-100000</v>
      </c>
      <c r="O125" s="61">
        <v>-100000</v>
      </c>
    </row>
    <row r="126" spans="2:15" x14ac:dyDescent="0.2">
      <c r="B126" s="1" t="s">
        <v>53</v>
      </c>
      <c r="F126" s="4">
        <v>-15913</v>
      </c>
      <c r="G126" s="4">
        <v>-11800</v>
      </c>
      <c r="H126" s="4">
        <v>-14554</v>
      </c>
      <c r="I126" s="4">
        <v>0</v>
      </c>
      <c r="J126" s="4">
        <v>0</v>
      </c>
      <c r="K126" s="4">
        <v>0</v>
      </c>
      <c r="L126" s="4">
        <v>0</v>
      </c>
      <c r="M126" s="4">
        <v>0</v>
      </c>
      <c r="N126" s="4">
        <v>0</v>
      </c>
      <c r="O126" s="61">
        <v>0</v>
      </c>
    </row>
    <row r="127" spans="2:15" ht="17" thickBot="1" x14ac:dyDescent="0.25">
      <c r="B127" s="3" t="s">
        <v>63</v>
      </c>
      <c r="F127" s="2">
        <f>SUM(F124:F126)</f>
        <v>-108488</v>
      </c>
      <c r="G127" s="2">
        <f>SUM(G124:G126)</f>
        <v>-121983</v>
      </c>
      <c r="H127" s="2">
        <f>SUM(H124:H126)</f>
        <v>-120686</v>
      </c>
      <c r="I127" s="2">
        <f>SUM(I124:I126)</f>
        <v>-115621.473</v>
      </c>
      <c r="J127" s="2">
        <f t="shared" ref="J127:N127" si="46">SUM(J124:J126)</f>
        <v>-115824.552149</v>
      </c>
      <c r="K127" s="2">
        <f t="shared" si="46"/>
        <v>-116030.271326937</v>
      </c>
      <c r="L127" s="2">
        <f t="shared" si="46"/>
        <v>-116238.66485418717</v>
      </c>
      <c r="M127" s="2">
        <f t="shared" si="46"/>
        <v>-116449.76749729161</v>
      </c>
      <c r="N127" s="2">
        <f t="shared" si="46"/>
        <v>-116663.6144747564</v>
      </c>
      <c r="O127" s="232">
        <f t="shared" ref="O127" si="47">SUM(O124:O126)</f>
        <v>-116880.24146292823</v>
      </c>
    </row>
    <row r="131" spans="2:15" ht="19" x14ac:dyDescent="0.25">
      <c r="B131" s="9" t="s">
        <v>64</v>
      </c>
    </row>
    <row r="133" spans="2:15" x14ac:dyDescent="0.2">
      <c r="B133" s="1" t="s">
        <v>65</v>
      </c>
      <c r="F133" s="4">
        <v>24977</v>
      </c>
      <c r="G133" s="4">
        <v>30737</v>
      </c>
      <c r="H133" s="4">
        <v>29943</v>
      </c>
      <c r="I133" s="1">
        <f>H135</f>
        <v>35934</v>
      </c>
      <c r="J133" s="1">
        <f t="shared" ref="J133:N133" si="48">I135</f>
        <v>46263.759814776291</v>
      </c>
      <c r="K133" s="1">
        <f t="shared" si="48"/>
        <v>64863.416384167635</v>
      </c>
      <c r="L133" s="1">
        <f t="shared" si="48"/>
        <v>96682.188883016846</v>
      </c>
      <c r="M133" s="1">
        <f t="shared" si="48"/>
        <v>143590.9053244328</v>
      </c>
      <c r="N133" s="1">
        <f t="shared" si="48"/>
        <v>210906.51997216835</v>
      </c>
      <c r="O133" s="69">
        <f t="shared" ref="O133" si="49">N135</f>
        <v>299246.92939103371</v>
      </c>
    </row>
    <row r="134" spans="2:15" x14ac:dyDescent="0.2">
      <c r="B134" s="1" t="s">
        <v>66</v>
      </c>
      <c r="F134" s="1">
        <f>F110+F118+F127</f>
        <v>5760</v>
      </c>
      <c r="G134" s="1">
        <f>G110+G118+G127</f>
        <v>-794</v>
      </c>
      <c r="H134" s="1">
        <f>H110+H118+H127</f>
        <v>5991</v>
      </c>
      <c r="I134" s="1">
        <f>I110+I118+I127</f>
        <v>10329.759814776291</v>
      </c>
      <c r="J134" s="1">
        <f t="shared" ref="J134:N134" si="50">J110+J118+J127</f>
        <v>18599.656569391344</v>
      </c>
      <c r="K134" s="1">
        <f t="shared" si="50"/>
        <v>31818.772498849212</v>
      </c>
      <c r="L134" s="1">
        <f t="shared" si="50"/>
        <v>46908.716441415949</v>
      </c>
      <c r="M134" s="1">
        <f t="shared" si="50"/>
        <v>67315.614647735551</v>
      </c>
      <c r="N134" s="1">
        <f t="shared" si="50"/>
        <v>88340.409418865354</v>
      </c>
      <c r="O134" s="70">
        <f t="shared" ref="O134" si="51">O110+O118+O127</f>
        <v>93676.880569074667</v>
      </c>
    </row>
    <row r="135" spans="2:15" ht="17" thickBot="1" x14ac:dyDescent="0.25">
      <c r="B135" s="1" t="s">
        <v>67</v>
      </c>
      <c r="F135" s="11">
        <f>SUM(F133:F134)</f>
        <v>30737</v>
      </c>
      <c r="G135" s="11">
        <f t="shared" ref="G135:H135" si="52">SUM(G133:G134)</f>
        <v>29943</v>
      </c>
      <c r="H135" s="11">
        <f t="shared" si="52"/>
        <v>35934</v>
      </c>
      <c r="I135" s="10">
        <f>SUM(I133:I134)</f>
        <v>46263.759814776291</v>
      </c>
      <c r="J135" s="10">
        <f t="shared" ref="J135:N135" si="53">SUM(J133:J134)</f>
        <v>64863.416384167635</v>
      </c>
      <c r="K135" s="10">
        <f t="shared" si="53"/>
        <v>96682.188883016846</v>
      </c>
      <c r="L135" s="10">
        <f t="shared" si="53"/>
        <v>143590.9053244328</v>
      </c>
      <c r="M135" s="10">
        <f t="shared" si="53"/>
        <v>210906.51997216835</v>
      </c>
      <c r="N135" s="10">
        <f t="shared" si="53"/>
        <v>299246.92939103371</v>
      </c>
      <c r="O135" s="231">
        <f t="shared" ref="O135" si="54">SUM(O133:O134)</f>
        <v>392923.80996010837</v>
      </c>
    </row>
    <row r="136" spans="2:15" ht="17" thickTop="1" x14ac:dyDescent="0.2"/>
    <row r="138" spans="2:15" ht="32" x14ac:dyDescent="0.4">
      <c r="B138" s="215" t="s">
        <v>173</v>
      </c>
      <c r="C138" s="150"/>
      <c r="D138" s="150"/>
      <c r="E138" s="150"/>
      <c r="F138" s="150"/>
      <c r="G138" s="150"/>
      <c r="H138" s="150"/>
      <c r="I138" s="150"/>
      <c r="J138" s="150"/>
      <c r="K138" s="150"/>
      <c r="L138" s="150"/>
      <c r="M138" s="150"/>
      <c r="N138" s="150"/>
      <c r="O138" s="150"/>
    </row>
    <row r="141" spans="2:15" ht="24" x14ac:dyDescent="0.3">
      <c r="B141" s="57" t="s">
        <v>110</v>
      </c>
      <c r="C141" s="55"/>
      <c r="D141" s="55"/>
      <c r="E141" s="55"/>
      <c r="F141" s="55"/>
      <c r="G141" s="55"/>
      <c r="H141" s="55"/>
      <c r="I141" s="55"/>
      <c r="J141" s="55"/>
      <c r="K141" s="55"/>
      <c r="L141" s="55"/>
      <c r="M141" s="55"/>
      <c r="N141" s="55"/>
      <c r="O141" s="55"/>
    </row>
    <row r="143" spans="2:15" ht="20" thickBot="1" x14ac:dyDescent="0.3">
      <c r="B143" s="1" t="s">
        <v>188</v>
      </c>
      <c r="F143"/>
      <c r="G143"/>
      <c r="H143"/>
      <c r="I143" s="33" t="s">
        <v>1</v>
      </c>
      <c r="J143" s="33" t="s">
        <v>2</v>
      </c>
      <c r="K143" s="33" t="s">
        <v>3</v>
      </c>
      <c r="L143" s="33" t="s">
        <v>4</v>
      </c>
      <c r="M143" s="33" t="s">
        <v>5</v>
      </c>
      <c r="N143" s="33" t="s">
        <v>6</v>
      </c>
      <c r="O143" s="65" t="s">
        <v>111</v>
      </c>
    </row>
    <row r="144" spans="2:15" ht="19" x14ac:dyDescent="0.25">
      <c r="F144"/>
      <c r="G144"/>
      <c r="H144"/>
      <c r="O144" s="9"/>
    </row>
    <row r="145" spans="2:15" x14ac:dyDescent="0.2">
      <c r="B145" s="49" t="s">
        <v>112</v>
      </c>
      <c r="C145" s="23">
        <f>Inputs!F37</f>
        <v>0.155</v>
      </c>
    </row>
    <row r="146" spans="2:15" x14ac:dyDescent="0.2">
      <c r="D146" s="56"/>
    </row>
    <row r="148" spans="2:15" x14ac:dyDescent="0.2">
      <c r="E148" s="1" t="s">
        <v>113</v>
      </c>
      <c r="I148" s="1">
        <f t="shared" ref="I148:O148" si="55">I24*(1-$C$145)</f>
        <v>121990.18532258998</v>
      </c>
      <c r="J148" s="1">
        <f t="shared" si="55"/>
        <v>133948.24491294249</v>
      </c>
      <c r="K148" s="1">
        <f t="shared" si="55"/>
        <v>147134.61499270049</v>
      </c>
      <c r="L148" s="1">
        <f t="shared" si="55"/>
        <v>162508.86069103953</v>
      </c>
      <c r="M148" s="1">
        <f t="shared" si="55"/>
        <v>184428.43819483681</v>
      </c>
      <c r="N148" s="1">
        <f t="shared" si="55"/>
        <v>204146.91204516808</v>
      </c>
      <c r="O148" s="1">
        <f t="shared" si="55"/>
        <v>209833.45555617558</v>
      </c>
    </row>
    <row r="149" spans="2:15" x14ac:dyDescent="0.2">
      <c r="E149" s="1" t="s">
        <v>114</v>
      </c>
      <c r="I149" s="1">
        <f>I102</f>
        <v>12514.793592000002</v>
      </c>
      <c r="J149" s="1">
        <f t="shared" ref="J149:O149" si="56">J102</f>
        <v>13490.947492176003</v>
      </c>
      <c r="K149" s="1">
        <f t="shared" si="56"/>
        <v>14597.205186534437</v>
      </c>
      <c r="L149" s="1">
        <f t="shared" si="56"/>
        <v>15837.967627389862</v>
      </c>
      <c r="M149" s="1">
        <f t="shared" si="56"/>
        <v>17263.38471385495</v>
      </c>
      <c r="N149" s="1">
        <f t="shared" si="56"/>
        <v>18842.984415172676</v>
      </c>
      <c r="O149" s="1">
        <f t="shared" si="56"/>
        <v>19314.059025551993</v>
      </c>
    </row>
    <row r="150" spans="2:15" x14ac:dyDescent="0.2">
      <c r="E150" s="1" t="s">
        <v>102</v>
      </c>
      <c r="I150" s="1">
        <f>I116</f>
        <v>-13408.707420000001</v>
      </c>
      <c r="J150" s="1">
        <f t="shared" ref="J150:O150" si="57">J116</f>
        <v>-14454.586598760003</v>
      </c>
      <c r="K150" s="1">
        <f t="shared" si="57"/>
        <v>-15639.862699858324</v>
      </c>
      <c r="L150" s="1">
        <f t="shared" si="57"/>
        <v>-16969.25102934628</v>
      </c>
      <c r="M150" s="1">
        <f t="shared" si="57"/>
        <v>-18496.483621987449</v>
      </c>
      <c r="N150" s="1">
        <f t="shared" si="57"/>
        <v>-20188.911873399295</v>
      </c>
      <c r="O150" s="1">
        <f t="shared" si="57"/>
        <v>-19314.059025551993</v>
      </c>
    </row>
    <row r="151" spans="2:15" x14ac:dyDescent="0.2">
      <c r="E151" s="1" t="s">
        <v>115</v>
      </c>
      <c r="I151" s="1">
        <f>'Supporting schedules &amp; calc'!K173</f>
        <v>4854.961320186304</v>
      </c>
      <c r="J151" s="1">
        <f>'Supporting schedules &amp; calc'!L173</f>
        <v>1439.6029120328603</v>
      </c>
      <c r="K151" s="1">
        <f>'Supporting schedules &amp; calc'!M173</f>
        <v>1757.0863464095637</v>
      </c>
      <c r="L151" s="1">
        <f>'Supporting schedules &amp; calc'!N173</f>
        <v>1769.8040065200285</v>
      </c>
      <c r="M151" s="1">
        <f>'Supporting schedules &amp; calc'!O173</f>
        <v>570.04285832281676</v>
      </c>
      <c r="N151" s="1">
        <f>'Supporting schedules &amp; calc'!P173</f>
        <v>2203.0393066802235</v>
      </c>
      <c r="O151" s="1">
        <f>'Supporting schedules &amp; calc'!Q173</f>
        <v>723.66647582732639</v>
      </c>
    </row>
    <row r="153" spans="2:15" x14ac:dyDescent="0.2">
      <c r="E153" s="3" t="s">
        <v>116</v>
      </c>
      <c r="I153" s="3">
        <f t="shared" ref="I153:O153" si="58">SUM(I148:I151)</f>
        <v>125951.23281477627</v>
      </c>
      <c r="J153" s="3">
        <f t="shared" si="58"/>
        <v>134424.20871839134</v>
      </c>
      <c r="K153" s="3">
        <f t="shared" si="58"/>
        <v>147849.04382578618</v>
      </c>
      <c r="L153" s="3">
        <f t="shared" si="58"/>
        <v>163147.38129560312</v>
      </c>
      <c r="M153" s="3">
        <f t="shared" si="58"/>
        <v>183765.38214502714</v>
      </c>
      <c r="N153" s="3">
        <f t="shared" si="58"/>
        <v>205004.02389362172</v>
      </c>
      <c r="O153" s="3">
        <f t="shared" si="58"/>
        <v>210557.1220320029</v>
      </c>
    </row>
    <row r="154" spans="2:15" x14ac:dyDescent="0.2">
      <c r="E154" s="1" t="s">
        <v>117</v>
      </c>
      <c r="I154" s="12">
        <f>I153/I15</f>
        <v>0.28179725801215877</v>
      </c>
      <c r="J154" s="12">
        <f t="shared" ref="J154:O154" si="59">J153/J15</f>
        <v>0.27899284659567436</v>
      </c>
      <c r="K154" s="12">
        <f t="shared" si="59"/>
        <v>0.28360039981768925</v>
      </c>
      <c r="L154" s="12">
        <f t="shared" si="59"/>
        <v>0.28842884287608095</v>
      </c>
      <c r="M154" s="12">
        <f t="shared" si="59"/>
        <v>0.29805456956139248</v>
      </c>
      <c r="N154" s="12">
        <f t="shared" si="59"/>
        <v>0.30462863751027552</v>
      </c>
      <c r="O154" s="12">
        <f t="shared" si="59"/>
        <v>0.30524911460073506</v>
      </c>
    </row>
    <row r="159" spans="2:15" ht="24" x14ac:dyDescent="0.3">
      <c r="B159" s="57" t="s">
        <v>138</v>
      </c>
      <c r="C159" s="55"/>
      <c r="D159" s="55"/>
      <c r="E159" s="55"/>
      <c r="F159" s="55"/>
      <c r="G159" s="55"/>
      <c r="H159" s="55"/>
      <c r="I159" s="55"/>
      <c r="J159" s="55"/>
      <c r="K159" s="55"/>
      <c r="L159" s="55"/>
      <c r="M159" s="55"/>
      <c r="N159" s="55"/>
      <c r="O159" s="55"/>
    </row>
    <row r="161" spans="2:15" x14ac:dyDescent="0.2">
      <c r="B161" s="38" t="s">
        <v>188</v>
      </c>
      <c r="C161" s="38"/>
      <c r="D161" s="38"/>
      <c r="E161" s="38"/>
      <c r="F161" s="38"/>
      <c r="G161" s="38"/>
      <c r="H161" s="38"/>
      <c r="I161" s="38"/>
      <c r="J161" s="38"/>
      <c r="K161" s="38"/>
      <c r="L161" s="38"/>
      <c r="M161" s="38"/>
      <c r="N161" s="38"/>
      <c r="O161" s="38"/>
    </row>
    <row r="162" spans="2:15" x14ac:dyDescent="0.2">
      <c r="B162" s="38"/>
      <c r="C162" s="38"/>
      <c r="D162" s="38"/>
      <c r="E162" s="38"/>
      <c r="F162" s="38"/>
      <c r="G162" s="38"/>
      <c r="H162" s="38"/>
      <c r="I162" s="38"/>
      <c r="J162" s="38"/>
      <c r="K162" s="38"/>
      <c r="L162" s="38"/>
      <c r="M162" s="38"/>
      <c r="N162" s="38"/>
      <c r="O162" s="38"/>
    </row>
    <row r="163" spans="2:15" ht="17" thickBot="1" x14ac:dyDescent="0.25">
      <c r="B163" s="76" t="s">
        <v>139</v>
      </c>
      <c r="C163" s="197"/>
      <c r="D163" s="198">
        <f>Inputs!F46</f>
        <v>2.5000000000000001E-2</v>
      </c>
      <c r="E163" s="38"/>
      <c r="F163" s="38"/>
      <c r="G163" s="38"/>
      <c r="H163" s="38"/>
      <c r="I163" s="199" t="s">
        <v>1</v>
      </c>
      <c r="J163" s="199" t="s">
        <v>2</v>
      </c>
      <c r="K163" s="199" t="s">
        <v>3</v>
      </c>
      <c r="L163" s="199" t="s">
        <v>4</v>
      </c>
      <c r="M163" s="199" t="s">
        <v>5</v>
      </c>
      <c r="N163" s="199" t="s">
        <v>6</v>
      </c>
      <c r="O163" s="200" t="s">
        <v>111</v>
      </c>
    </row>
    <row r="164" spans="2:15" x14ac:dyDescent="0.2">
      <c r="B164" s="201" t="s">
        <v>140</v>
      </c>
      <c r="C164" s="202"/>
      <c r="D164" s="203">
        <f>Outputs!K40</f>
        <v>8.8200000000000001E-2</v>
      </c>
      <c r="E164" s="38"/>
      <c r="F164" s="38"/>
      <c r="G164" s="38"/>
      <c r="H164" s="38"/>
      <c r="I164" s="38"/>
      <c r="J164" s="38"/>
      <c r="K164" s="38"/>
      <c r="L164" s="38"/>
      <c r="M164" s="38"/>
      <c r="N164" s="38"/>
      <c r="O164" s="38"/>
    </row>
    <row r="165" spans="2:15" x14ac:dyDescent="0.2">
      <c r="B165" s="38"/>
      <c r="C165" s="38"/>
      <c r="D165" s="106"/>
      <c r="E165" s="38"/>
      <c r="F165" s="38"/>
      <c r="G165" s="38"/>
      <c r="H165" s="38"/>
      <c r="I165" s="38"/>
      <c r="J165" s="38"/>
      <c r="K165" s="38"/>
      <c r="L165" s="38"/>
      <c r="M165" s="38"/>
      <c r="N165" s="38"/>
      <c r="O165" s="38"/>
    </row>
    <row r="166" spans="2:15" x14ac:dyDescent="0.2">
      <c r="B166" s="38"/>
      <c r="C166" s="38"/>
      <c r="D166" s="38"/>
      <c r="E166" s="38"/>
      <c r="F166" s="38"/>
      <c r="G166" s="38"/>
      <c r="H166" s="38"/>
      <c r="I166" s="38"/>
      <c r="J166" s="38"/>
      <c r="K166" s="38"/>
      <c r="L166" s="38"/>
      <c r="M166" s="38"/>
      <c r="N166" s="38"/>
      <c r="O166" s="38"/>
    </row>
    <row r="167" spans="2:15" x14ac:dyDescent="0.2">
      <c r="B167" s="38"/>
      <c r="C167" s="38"/>
      <c r="D167" s="38"/>
      <c r="E167" s="38"/>
      <c r="F167" s="38"/>
      <c r="G167" s="38"/>
      <c r="H167" s="38"/>
      <c r="I167" s="38"/>
      <c r="J167" s="38"/>
      <c r="K167" s="38"/>
      <c r="L167" s="38"/>
      <c r="M167" s="38"/>
      <c r="N167" s="38"/>
      <c r="O167" s="38"/>
    </row>
    <row r="168" spans="2:15" x14ac:dyDescent="0.2">
      <c r="B168" s="38"/>
      <c r="C168" s="38"/>
      <c r="D168" s="38"/>
      <c r="E168" s="38"/>
      <c r="F168" s="38"/>
      <c r="G168" s="38" t="s">
        <v>143</v>
      </c>
      <c r="H168" s="38"/>
      <c r="I168" s="38">
        <f t="shared" ref="I168:O168" si="60">I153</f>
        <v>125951.23281477627</v>
      </c>
      <c r="J168" s="38">
        <f t="shared" si="60"/>
        <v>134424.20871839134</v>
      </c>
      <c r="K168" s="38">
        <f t="shared" si="60"/>
        <v>147849.04382578618</v>
      </c>
      <c r="L168" s="38">
        <f t="shared" si="60"/>
        <v>163147.38129560312</v>
      </c>
      <c r="M168" s="38">
        <f t="shared" si="60"/>
        <v>183765.38214502714</v>
      </c>
      <c r="N168" s="38">
        <f t="shared" si="60"/>
        <v>205004.02389362172</v>
      </c>
      <c r="O168" s="38">
        <f t="shared" si="60"/>
        <v>210557.1220320029</v>
      </c>
    </row>
    <row r="169" spans="2:15" ht="19" x14ac:dyDescent="0.25">
      <c r="B169" s="194" t="s">
        <v>149</v>
      </c>
      <c r="C169" s="197"/>
      <c r="D169" s="77">
        <f>O66+O70</f>
        <v>98657</v>
      </c>
      <c r="E169" s="38"/>
      <c r="F169" s="38"/>
      <c r="G169" s="38" t="s">
        <v>144</v>
      </c>
      <c r="H169" s="38"/>
      <c r="I169" s="38"/>
      <c r="J169" s="38"/>
      <c r="K169" s="38"/>
      <c r="L169" s="38"/>
      <c r="M169" s="38"/>
      <c r="N169" s="38"/>
      <c r="O169" s="38">
        <f>O168*(1+D163)/(D164-D163)</f>
        <v>3414890.0329557424</v>
      </c>
    </row>
    <row r="170" spans="2:15" ht="20" thickBot="1" x14ac:dyDescent="0.3">
      <c r="B170" s="196" t="s">
        <v>150</v>
      </c>
      <c r="C170" s="38"/>
      <c r="D170" s="204">
        <f>H45</f>
        <v>35934</v>
      </c>
      <c r="E170" s="38"/>
      <c r="F170" s="38"/>
      <c r="G170" s="38" t="s">
        <v>145</v>
      </c>
      <c r="H170" s="38"/>
      <c r="I170" s="205">
        <f>SUM(I168:I169)</f>
        <v>125951.23281477627</v>
      </c>
      <c r="J170" s="205">
        <f t="shared" ref="J170:O170" si="61">SUM(J168:J169)</f>
        <v>134424.20871839134</v>
      </c>
      <c r="K170" s="205">
        <f t="shared" si="61"/>
        <v>147849.04382578618</v>
      </c>
      <c r="L170" s="205">
        <f t="shared" si="61"/>
        <v>163147.38129560312</v>
      </c>
      <c r="M170" s="205">
        <f t="shared" si="61"/>
        <v>183765.38214502714</v>
      </c>
      <c r="N170" s="205">
        <f t="shared" si="61"/>
        <v>205004.02389362172</v>
      </c>
      <c r="O170" s="205">
        <f t="shared" si="61"/>
        <v>3625447.1549877455</v>
      </c>
    </row>
    <row r="171" spans="2:15" ht="19" x14ac:dyDescent="0.25">
      <c r="B171" s="78" t="s">
        <v>148</v>
      </c>
      <c r="C171" s="202"/>
      <c r="D171" s="206">
        <f>D169-D170</f>
        <v>62723</v>
      </c>
      <c r="E171" s="38"/>
      <c r="F171" s="38"/>
      <c r="G171" s="38"/>
      <c r="H171" s="38"/>
      <c r="I171" s="38"/>
      <c r="J171" s="38"/>
      <c r="K171" s="38"/>
      <c r="L171" s="38"/>
      <c r="M171" s="38"/>
      <c r="N171" s="38"/>
      <c r="O171" s="38"/>
    </row>
    <row r="172" spans="2:15" x14ac:dyDescent="0.2">
      <c r="B172" s="38"/>
      <c r="C172" s="38"/>
      <c r="D172" s="38"/>
      <c r="E172" s="38"/>
      <c r="F172" s="38"/>
      <c r="G172" s="38"/>
      <c r="H172" s="38"/>
      <c r="I172" s="38"/>
      <c r="J172" s="38"/>
      <c r="K172" s="38"/>
      <c r="L172" s="38"/>
      <c r="M172" s="38"/>
      <c r="N172" s="38"/>
      <c r="O172" s="38"/>
    </row>
    <row r="173" spans="2:15" ht="19" x14ac:dyDescent="0.25">
      <c r="B173" s="64" t="s">
        <v>147</v>
      </c>
      <c r="C173" s="207"/>
      <c r="D173" s="208">
        <f>I173</f>
        <v>2710540.7362498241</v>
      </c>
      <c r="E173" s="38"/>
      <c r="F173" s="38"/>
      <c r="G173" s="80" t="s">
        <v>160</v>
      </c>
      <c r="H173" s="207"/>
      <c r="I173" s="81">
        <f>NPV(D164,I170,J170,K170,L170,M170,N170,O170)</f>
        <v>2710540.7362498241</v>
      </c>
      <c r="J173" s="38"/>
      <c r="K173" s="38"/>
      <c r="L173" s="38"/>
      <c r="M173" s="38"/>
      <c r="N173" s="38"/>
      <c r="O173" s="38"/>
    </row>
    <row r="174" spans="2:15" x14ac:dyDescent="0.2">
      <c r="B174" s="38"/>
      <c r="C174" s="38"/>
      <c r="D174" s="38"/>
      <c r="E174" s="38"/>
      <c r="F174" s="38"/>
      <c r="G174" s="3"/>
      <c r="H174" s="38"/>
      <c r="I174" s="38"/>
      <c r="J174" s="3"/>
      <c r="K174" s="38"/>
      <c r="L174" s="38"/>
      <c r="M174" s="38"/>
      <c r="N174" s="38"/>
      <c r="O174" s="38"/>
    </row>
    <row r="175" spans="2:15" x14ac:dyDescent="0.2">
      <c r="B175" s="38"/>
      <c r="C175" s="38"/>
      <c r="D175" s="38"/>
      <c r="E175" s="38"/>
      <c r="F175" s="38"/>
      <c r="G175" s="38"/>
      <c r="H175" s="38"/>
      <c r="I175" s="38"/>
      <c r="J175" s="38"/>
      <c r="K175" s="38"/>
      <c r="L175" s="38"/>
      <c r="M175" s="38"/>
      <c r="N175" s="38"/>
      <c r="O175" s="38"/>
    </row>
    <row r="176" spans="2:15" ht="19" x14ac:dyDescent="0.25">
      <c r="B176" s="194" t="s">
        <v>147</v>
      </c>
      <c r="C176" s="197"/>
      <c r="D176" s="77">
        <f>I173</f>
        <v>2710540.7362498241</v>
      </c>
      <c r="E176" s="38"/>
      <c r="F176" s="38"/>
      <c r="G176" s="194" t="s">
        <v>152</v>
      </c>
      <c r="H176" s="197"/>
      <c r="I176" s="197"/>
      <c r="J176" s="77">
        <f>D178</f>
        <v>2647817.7362498241</v>
      </c>
      <c r="K176" s="38"/>
      <c r="L176" s="38"/>
      <c r="M176" s="194" t="s">
        <v>154</v>
      </c>
      <c r="N176" s="197"/>
      <c r="O176" s="209">
        <f>J178</f>
        <v>178.18423527926137</v>
      </c>
    </row>
    <row r="177" spans="2:15" ht="19" x14ac:dyDescent="0.25">
      <c r="B177" s="196" t="s">
        <v>151</v>
      </c>
      <c r="C177" s="38"/>
      <c r="D177" s="204">
        <f>D171</f>
        <v>62723</v>
      </c>
      <c r="E177" s="38"/>
      <c r="F177" s="38"/>
      <c r="G177" s="196" t="s">
        <v>142</v>
      </c>
      <c r="H177" s="38"/>
      <c r="I177" s="38"/>
      <c r="J177" s="204">
        <f>Inputs!F47</f>
        <v>14860</v>
      </c>
      <c r="K177" s="38"/>
      <c r="L177" s="38"/>
      <c r="M177" s="196" t="s">
        <v>162</v>
      </c>
      <c r="N177" s="38"/>
      <c r="O177" s="210">
        <f>Inputs!F48</f>
        <v>271</v>
      </c>
    </row>
    <row r="178" spans="2:15" ht="19" x14ac:dyDescent="0.25">
      <c r="B178" s="64" t="s">
        <v>152</v>
      </c>
      <c r="C178" s="207"/>
      <c r="D178" s="208">
        <f>D176-D177</f>
        <v>2647817.7362498241</v>
      </c>
      <c r="E178" s="38"/>
      <c r="F178" s="38"/>
      <c r="G178" s="78" t="s">
        <v>154</v>
      </c>
      <c r="H178" s="202"/>
      <c r="I178" s="211" t="s">
        <v>153</v>
      </c>
      <c r="J178" s="212">
        <f>J176/J177</f>
        <v>178.18423527926137</v>
      </c>
      <c r="K178" s="38"/>
      <c r="L178" s="38"/>
      <c r="M178" s="195" t="s">
        <v>155</v>
      </c>
      <c r="N178" s="202"/>
      <c r="O178" s="203">
        <f>(O177/O176)-1</f>
        <v>0.52089773584779819</v>
      </c>
    </row>
    <row r="179" spans="2:15" x14ac:dyDescent="0.2">
      <c r="B179" s="38"/>
      <c r="C179" s="38"/>
      <c r="D179" s="38"/>
      <c r="E179" s="38"/>
      <c r="F179" s="38"/>
      <c r="G179" s="38"/>
      <c r="H179" s="38"/>
      <c r="I179" s="38"/>
      <c r="J179" s="38"/>
      <c r="K179" s="38"/>
      <c r="L179" s="38"/>
      <c r="M179" s="38"/>
      <c r="N179" s="38"/>
      <c r="O179" s="38"/>
    </row>
    <row r="183" spans="2:15" ht="27" x14ac:dyDescent="0.35">
      <c r="B183" s="94" t="s">
        <v>158</v>
      </c>
      <c r="C183" s="55"/>
      <c r="D183" s="55"/>
      <c r="E183" s="55"/>
      <c r="F183" s="55"/>
      <c r="G183" s="55"/>
      <c r="H183" s="55"/>
      <c r="I183" s="55"/>
      <c r="J183" s="55"/>
      <c r="K183" s="55"/>
      <c r="L183" s="55"/>
      <c r="M183" s="55"/>
      <c r="N183" s="55"/>
      <c r="O183" s="55"/>
    </row>
    <row r="185" spans="2:15" x14ac:dyDescent="0.2">
      <c r="B185" s="1" t="s">
        <v>188</v>
      </c>
    </row>
    <row r="187" spans="2:15" ht="20" thickBot="1" x14ac:dyDescent="0.3">
      <c r="B187" s="43" t="s">
        <v>156</v>
      </c>
      <c r="C187" s="42"/>
      <c r="D187" s="73">
        <f>Inputs!F49</f>
        <v>16.52</v>
      </c>
      <c r="I187" s="33" t="s">
        <v>1</v>
      </c>
      <c r="J187" s="33" t="s">
        <v>2</v>
      </c>
      <c r="K187" s="33" t="s">
        <v>3</v>
      </c>
      <c r="L187" s="33" t="s">
        <v>4</v>
      </c>
      <c r="M187" s="33" t="s">
        <v>5</v>
      </c>
      <c r="N187" s="33" t="s">
        <v>6</v>
      </c>
      <c r="O187" s="65" t="s">
        <v>111</v>
      </c>
    </row>
    <row r="188" spans="2:15" x14ac:dyDescent="0.2">
      <c r="B188" s="44" t="s">
        <v>140</v>
      </c>
      <c r="D188" s="90">
        <f>Outputs!K40</f>
        <v>8.8200000000000001E-2</v>
      </c>
    </row>
    <row r="189" spans="2:15" x14ac:dyDescent="0.2">
      <c r="B189" s="45" t="s">
        <v>159</v>
      </c>
      <c r="C189" s="41"/>
      <c r="D189" s="48">
        <f>O24+O102</f>
        <v>267637.67506836331</v>
      </c>
    </row>
    <row r="191" spans="2:15" x14ac:dyDescent="0.2">
      <c r="G191" s="1" t="s">
        <v>143</v>
      </c>
      <c r="I191" s="1">
        <f>I168</f>
        <v>125951.23281477627</v>
      </c>
      <c r="J191" s="1">
        <f t="shared" ref="J191:O191" si="62">J168</f>
        <v>134424.20871839134</v>
      </c>
      <c r="K191" s="1">
        <f t="shared" si="62"/>
        <v>147849.04382578618</v>
      </c>
      <c r="L191" s="1">
        <f t="shared" si="62"/>
        <v>163147.38129560312</v>
      </c>
      <c r="M191" s="1">
        <f t="shared" si="62"/>
        <v>183765.38214502714</v>
      </c>
      <c r="N191" s="1">
        <f t="shared" si="62"/>
        <v>205004.02389362172</v>
      </c>
      <c r="O191" s="1">
        <f t="shared" si="62"/>
        <v>210557.1220320029</v>
      </c>
    </row>
    <row r="192" spans="2:15" x14ac:dyDescent="0.2">
      <c r="G192" s="1" t="s">
        <v>144</v>
      </c>
      <c r="O192" s="1">
        <f>D189*D187</f>
        <v>4421374.3921293616</v>
      </c>
    </row>
    <row r="193" spans="2:15" ht="20" thickBot="1" x14ac:dyDescent="0.3">
      <c r="B193" s="194" t="s">
        <v>149</v>
      </c>
      <c r="C193" s="42"/>
      <c r="D193" s="46">
        <f>D169</f>
        <v>98657</v>
      </c>
      <c r="G193" s="1" t="s">
        <v>145</v>
      </c>
      <c r="I193" s="2">
        <f>SUM(I191:I192)</f>
        <v>125951.23281477627</v>
      </c>
      <c r="J193" s="2">
        <f t="shared" ref="J193:O193" si="63">SUM(J191:J192)</f>
        <v>134424.20871839134</v>
      </c>
      <c r="K193" s="2">
        <f t="shared" si="63"/>
        <v>147849.04382578618</v>
      </c>
      <c r="L193" s="2">
        <f t="shared" si="63"/>
        <v>163147.38129560312</v>
      </c>
      <c r="M193" s="2">
        <f t="shared" si="63"/>
        <v>183765.38214502714</v>
      </c>
      <c r="N193" s="2">
        <f t="shared" si="63"/>
        <v>205004.02389362172</v>
      </c>
      <c r="O193" s="2">
        <f t="shared" si="63"/>
        <v>4631931.5141613642</v>
      </c>
    </row>
    <row r="194" spans="2:15" ht="19" x14ac:dyDescent="0.25">
      <c r="B194" s="196" t="s">
        <v>150</v>
      </c>
      <c r="D194" s="47">
        <f>D170</f>
        <v>35934</v>
      </c>
    </row>
    <row r="195" spans="2:15" x14ac:dyDescent="0.2">
      <c r="B195" s="75" t="s">
        <v>148</v>
      </c>
      <c r="C195" s="41"/>
      <c r="D195" s="48">
        <f>D171</f>
        <v>62723</v>
      </c>
    </row>
    <row r="196" spans="2:15" x14ac:dyDescent="0.2">
      <c r="G196" s="49" t="s">
        <v>146</v>
      </c>
      <c r="H196" s="5"/>
      <c r="I196" s="50">
        <f>NPV(D188,I193,J193,K193,L193,M193,N193,O193)</f>
        <v>3267528.9166828562</v>
      </c>
    </row>
    <row r="197" spans="2:15" ht="19" x14ac:dyDescent="0.25">
      <c r="B197" s="64" t="s">
        <v>147</v>
      </c>
      <c r="C197" s="92"/>
      <c r="D197" s="95">
        <f>I196</f>
        <v>3267528.9166828562</v>
      </c>
    </row>
    <row r="199" spans="2:15" ht="19" x14ac:dyDescent="0.25">
      <c r="B199" s="194" t="s">
        <v>147</v>
      </c>
      <c r="C199" s="42"/>
      <c r="D199" s="77">
        <f>D197</f>
        <v>3267528.9166828562</v>
      </c>
      <c r="G199" s="194" t="s">
        <v>152</v>
      </c>
      <c r="H199" s="42"/>
      <c r="I199" s="42"/>
      <c r="J199" s="46">
        <f>D201</f>
        <v>3204805.9166828562</v>
      </c>
      <c r="M199" s="194" t="s">
        <v>154</v>
      </c>
      <c r="N199" s="42"/>
      <c r="O199" s="73">
        <f>J201</f>
        <v>215.66661619669287</v>
      </c>
    </row>
    <row r="200" spans="2:15" ht="19" x14ac:dyDescent="0.25">
      <c r="B200" s="196" t="s">
        <v>151</v>
      </c>
      <c r="D200" s="47">
        <f>D195</f>
        <v>62723</v>
      </c>
      <c r="G200" s="196" t="s">
        <v>142</v>
      </c>
      <c r="J200" s="47">
        <f>J177</f>
        <v>14860</v>
      </c>
      <c r="M200" s="196" t="s">
        <v>162</v>
      </c>
      <c r="O200" s="93">
        <f>O177</f>
        <v>271</v>
      </c>
    </row>
    <row r="201" spans="2:15" ht="19" x14ac:dyDescent="0.25">
      <c r="B201" s="64" t="s">
        <v>152</v>
      </c>
      <c r="C201" s="5"/>
      <c r="D201" s="95">
        <f>D199-D200</f>
        <v>3204805.9166828562</v>
      </c>
      <c r="G201" s="78" t="s">
        <v>154</v>
      </c>
      <c r="H201" s="41"/>
      <c r="I201" s="79" t="s">
        <v>153</v>
      </c>
      <c r="J201" s="96">
        <f>J199/J200</f>
        <v>215.66661619669287</v>
      </c>
      <c r="M201" s="195" t="s">
        <v>155</v>
      </c>
      <c r="N201" s="41"/>
      <c r="O201" s="74">
        <f>(O200/O199)-1</f>
        <v>0.25656907304022347</v>
      </c>
    </row>
    <row r="220" ht="20" customHeight="1" x14ac:dyDescent="0.2"/>
    <row r="252" spans="2:15" x14ac:dyDescent="0.2">
      <c r="O252" s="12"/>
    </row>
    <row r="255" spans="2:15" ht="29" x14ac:dyDescent="0.35">
      <c r="B255" s="51"/>
    </row>
  </sheetData>
  <pageMargins left="0.7" right="0.7" top="0.75" bottom="0.75" header="0.3" footer="0.3"/>
  <pageSetup paperSize="9" scale="53" fitToHeight="8" orientation="portrait" horizontalDpi="0" verticalDpi="0"/>
  <rowBreaks count="2" manualBreakCount="2">
    <brk id="135" min="1" max="14" man="1"/>
    <brk id="203" min="1" max="14" man="1"/>
  </rowBreaks>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anchor moveWithCells="1">
                  <from>
                    <xdr:col>1</xdr:col>
                    <xdr:colOff>12700</xdr:colOff>
                    <xdr:row>7</xdr:row>
                    <xdr:rowOff>25400</xdr:rowOff>
                  </from>
                  <to>
                    <xdr:col>3</xdr:col>
                    <xdr:colOff>228600</xdr:colOff>
                    <xdr:row>8</xdr:row>
                    <xdr:rowOff>152400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B3EE-B187-9A41-B5FC-71BC7B0A24A3}">
  <sheetPr>
    <pageSetUpPr fitToPage="1"/>
  </sheetPr>
  <dimension ref="B3:X192"/>
  <sheetViews>
    <sheetView showGridLines="0" tabSelected="1" zoomScale="50" zoomScaleNormal="50" zoomScaleSheetLayoutView="50" workbookViewId="0">
      <selection activeCell="Z170" sqref="Z170"/>
    </sheetView>
  </sheetViews>
  <sheetFormatPr baseColWidth="10" defaultRowHeight="16" x14ac:dyDescent="0.2"/>
  <cols>
    <col min="1" max="16384" width="10.83203125" style="1"/>
  </cols>
  <sheetData>
    <row r="3" spans="2:20" ht="34" x14ac:dyDescent="0.4">
      <c r="B3" s="255" t="s">
        <v>217</v>
      </c>
      <c r="C3" s="214"/>
      <c r="D3" s="214"/>
      <c r="E3" s="214"/>
      <c r="F3" s="214"/>
      <c r="G3" s="214"/>
      <c r="H3" s="214"/>
      <c r="I3" s="214"/>
      <c r="J3" s="214"/>
      <c r="K3" s="214"/>
      <c r="L3" s="214"/>
      <c r="M3" s="214"/>
      <c r="N3" s="214"/>
      <c r="O3" s="214"/>
      <c r="P3" s="150"/>
      <c r="Q3" s="150"/>
      <c r="R3" s="150"/>
      <c r="S3" s="150"/>
      <c r="T3" s="150"/>
    </row>
    <row r="6" spans="2:20" ht="29" x14ac:dyDescent="0.35">
      <c r="B6" s="17" t="s">
        <v>192</v>
      </c>
      <c r="C6" s="6"/>
      <c r="D6" s="6"/>
      <c r="E6" s="6"/>
      <c r="F6" s="6"/>
      <c r="G6" s="6"/>
      <c r="H6" s="6"/>
      <c r="I6" s="6"/>
      <c r="J6" s="6"/>
      <c r="K6" s="6"/>
      <c r="L6" s="6"/>
      <c r="M6" s="6"/>
      <c r="N6" s="6"/>
      <c r="O6" s="6"/>
      <c r="P6" s="6"/>
      <c r="Q6" s="6"/>
      <c r="R6" s="6"/>
      <c r="S6" s="6"/>
      <c r="T6" s="6"/>
    </row>
    <row r="7" spans="2:20" ht="19" x14ac:dyDescent="0.25">
      <c r="B7" s="13"/>
      <c r="C7" s="13"/>
      <c r="D7" s="13"/>
      <c r="E7" s="13"/>
      <c r="F7" s="13"/>
      <c r="G7" s="13"/>
      <c r="H7" s="13"/>
      <c r="I7" s="13"/>
      <c r="J7" s="13"/>
      <c r="K7" s="13"/>
      <c r="L7" s="13"/>
      <c r="M7" s="13"/>
      <c r="N7" s="13"/>
      <c r="O7" s="13"/>
      <c r="P7" s="13"/>
      <c r="Q7" s="13"/>
      <c r="R7" s="13"/>
      <c r="S7" s="13"/>
      <c r="T7" s="13"/>
    </row>
    <row r="8" spans="2:20" ht="23" thickBot="1" x14ac:dyDescent="0.35">
      <c r="B8" s="13"/>
      <c r="C8" s="13"/>
      <c r="D8" s="29">
        <v>2015</v>
      </c>
      <c r="E8" s="29">
        <v>2016</v>
      </c>
      <c r="F8" s="29">
        <v>2017</v>
      </c>
      <c r="G8" s="29">
        <v>2018</v>
      </c>
      <c r="H8" s="29">
        <v>2019</v>
      </c>
      <c r="I8" s="29">
        <v>2020</v>
      </c>
      <c r="J8" s="29">
        <v>2021</v>
      </c>
      <c r="K8" s="29">
        <v>2022</v>
      </c>
      <c r="L8" s="29">
        <v>2023</v>
      </c>
      <c r="M8" s="29">
        <v>2024</v>
      </c>
      <c r="N8" s="29">
        <v>2025</v>
      </c>
      <c r="O8" s="31">
        <v>2026</v>
      </c>
      <c r="P8" s="31">
        <v>2027</v>
      </c>
      <c r="Q8" s="31">
        <v>2028</v>
      </c>
      <c r="R8" s="31">
        <v>2029</v>
      </c>
      <c r="S8" s="31">
        <v>2030</v>
      </c>
      <c r="T8" s="31">
        <v>2031</v>
      </c>
    </row>
    <row r="9" spans="2:20" ht="19" x14ac:dyDescent="0.25">
      <c r="B9" s="13"/>
      <c r="C9" s="13"/>
      <c r="D9" s="13"/>
      <c r="E9" s="13"/>
      <c r="F9" s="13"/>
      <c r="G9" s="13"/>
      <c r="H9" s="13"/>
      <c r="I9" s="13"/>
      <c r="J9" s="13"/>
      <c r="K9" s="13"/>
      <c r="L9" s="13"/>
      <c r="M9" s="13"/>
      <c r="N9" s="13"/>
      <c r="O9" s="13"/>
      <c r="P9" s="13"/>
      <c r="Q9" s="13"/>
      <c r="R9" s="13"/>
      <c r="S9" s="13"/>
      <c r="T9" s="13"/>
    </row>
    <row r="10" spans="2:20" ht="19" x14ac:dyDescent="0.25">
      <c r="B10" s="13"/>
      <c r="C10" s="13"/>
      <c r="D10" s="13"/>
      <c r="E10" s="13"/>
      <c r="F10" s="13"/>
      <c r="G10" s="13"/>
      <c r="H10" s="13"/>
      <c r="I10" s="13"/>
      <c r="J10" s="13"/>
      <c r="K10" s="13"/>
      <c r="L10" s="13"/>
      <c r="M10" s="13"/>
      <c r="N10" s="13"/>
      <c r="O10" s="13"/>
      <c r="P10" s="13"/>
      <c r="Q10" s="13"/>
      <c r="R10" s="13"/>
      <c r="S10" s="13"/>
      <c r="T10" s="13"/>
    </row>
    <row r="11" spans="2:20" ht="19" x14ac:dyDescent="0.25">
      <c r="B11" s="13" t="s">
        <v>81</v>
      </c>
      <c r="C11" s="13"/>
      <c r="D11" s="13"/>
      <c r="E11" s="24">
        <f>E21/D21-1</f>
        <v>-7.7342061913013738E-2</v>
      </c>
      <c r="F11" s="24">
        <f t="shared" ref="F11:T11" si="0">F21/E21-1</f>
        <v>6.304518199398057E-2</v>
      </c>
      <c r="G11" s="24">
        <f t="shared" si="0"/>
        <v>0.15861957650261305</v>
      </c>
      <c r="H11" s="24">
        <f t="shared" si="0"/>
        <v>-2.04107758052674E-2</v>
      </c>
      <c r="I11" s="24">
        <f t="shared" si="0"/>
        <v>5.5120803769784787E-2</v>
      </c>
      <c r="J11" s="24">
        <f t="shared" si="0"/>
        <v>0.33259384733074704</v>
      </c>
      <c r="K11" s="24">
        <f t="shared" si="0"/>
        <v>7.7937876041846099E-2</v>
      </c>
      <c r="L11" s="24">
        <f t="shared" si="0"/>
        <v>-2.800460530319937E-2</v>
      </c>
      <c r="M11" s="24">
        <f>M21/L21-1</f>
        <v>2.021994077514111E-2</v>
      </c>
      <c r="N11" s="24">
        <f t="shared" si="0"/>
        <v>6.425511782832749E-2</v>
      </c>
      <c r="O11" s="24">
        <f t="shared" si="0"/>
        <v>5.7097263751487048E-2</v>
      </c>
      <c r="P11" s="24">
        <f t="shared" si="0"/>
        <v>5.0036266194903645E-2</v>
      </c>
      <c r="Q11" s="24">
        <f t="shared" si="0"/>
        <v>4.7110739003613622E-2</v>
      </c>
      <c r="R11" s="24">
        <f t="shared" si="0"/>
        <v>4.4453644875467546E-2</v>
      </c>
      <c r="S11" s="24">
        <f t="shared" si="0"/>
        <v>4.272987604970746E-2</v>
      </c>
      <c r="T11" s="24">
        <f t="shared" si="0"/>
        <v>4.1965972772963989E-2</v>
      </c>
    </row>
    <row r="12" spans="2:20" ht="19" x14ac:dyDescent="0.25">
      <c r="B12" s="13"/>
      <c r="C12" s="13"/>
      <c r="D12" s="13"/>
      <c r="E12" s="13"/>
      <c r="F12" s="13"/>
      <c r="G12" s="13"/>
      <c r="H12" s="13"/>
      <c r="I12" s="13"/>
      <c r="J12" s="13"/>
      <c r="K12" s="13"/>
      <c r="L12" s="13"/>
      <c r="M12" s="13"/>
      <c r="N12" s="13"/>
      <c r="O12" s="13"/>
      <c r="P12" s="13"/>
      <c r="Q12" s="13"/>
      <c r="R12" s="13"/>
      <c r="S12" s="13"/>
      <c r="T12" s="13"/>
    </row>
    <row r="13" spans="2:20" ht="19" x14ac:dyDescent="0.25">
      <c r="B13" s="13"/>
      <c r="C13" s="13"/>
      <c r="D13" s="13"/>
      <c r="E13" s="13"/>
      <c r="F13" s="13"/>
      <c r="G13" s="13"/>
      <c r="H13" s="13"/>
      <c r="I13" s="13"/>
      <c r="J13" s="13"/>
      <c r="K13" s="13"/>
      <c r="L13" s="13"/>
      <c r="M13" s="13"/>
      <c r="N13" s="13"/>
      <c r="O13" s="13"/>
      <c r="P13" s="13"/>
      <c r="Q13" s="13"/>
      <c r="R13" s="13"/>
      <c r="S13" s="13"/>
      <c r="T13" s="13"/>
    </row>
    <row r="14" spans="2:20" ht="19" x14ac:dyDescent="0.25">
      <c r="B14" s="13"/>
      <c r="C14" s="13"/>
      <c r="D14" s="13"/>
      <c r="E14" s="13"/>
      <c r="F14" s="13"/>
      <c r="G14" s="13"/>
      <c r="H14" s="13"/>
      <c r="I14" s="13"/>
      <c r="J14" s="13"/>
      <c r="K14" s="13"/>
      <c r="L14" s="13"/>
      <c r="M14" s="13"/>
      <c r="N14" s="13"/>
      <c r="O14" s="13"/>
      <c r="P14" s="13"/>
      <c r="Q14" s="13"/>
      <c r="R14" s="13"/>
      <c r="S14" s="13"/>
      <c r="T14" s="13"/>
    </row>
    <row r="15" spans="2:20" ht="22" x14ac:dyDescent="0.3">
      <c r="B15" s="28" t="s">
        <v>39</v>
      </c>
      <c r="C15" s="13"/>
      <c r="D15" s="26">
        <v>155041</v>
      </c>
      <c r="E15" s="26">
        <v>136700</v>
      </c>
      <c r="F15" s="26">
        <v>141319</v>
      </c>
      <c r="G15" s="26">
        <v>164888</v>
      </c>
      <c r="H15" s="26">
        <v>142381</v>
      </c>
      <c r="I15" s="26">
        <v>137781</v>
      </c>
      <c r="J15" s="26">
        <v>191973</v>
      </c>
      <c r="K15" s="26">
        <v>205489</v>
      </c>
      <c r="L15" s="26">
        <v>200583</v>
      </c>
      <c r="M15" s="26">
        <v>201183</v>
      </c>
      <c r="N15" s="26">
        <v>209586</v>
      </c>
      <c r="O15" s="13">
        <f t="shared" ref="O15:T18" si="1">_xlfn.FORECAST.ETS(O$8,$D15:$N15,$D$8:$N$8)</f>
        <v>217557.24693230915</v>
      </c>
      <c r="P15" s="13">
        <f t="shared" si="1"/>
        <v>225158.59290173108</v>
      </c>
      <c r="Q15" s="13">
        <f t="shared" si="1"/>
        <v>232759.93887115302</v>
      </c>
      <c r="R15" s="13">
        <f t="shared" si="1"/>
        <v>240361.28484057495</v>
      </c>
      <c r="S15" s="13">
        <f t="shared" si="1"/>
        <v>247962.63080999689</v>
      </c>
      <c r="T15" s="13">
        <f t="shared" si="1"/>
        <v>255563.97677941882</v>
      </c>
    </row>
    <row r="16" spans="2:20" ht="22" x14ac:dyDescent="0.3">
      <c r="B16" s="28" t="s">
        <v>40</v>
      </c>
      <c r="C16" s="13"/>
      <c r="D16" s="26">
        <v>23227</v>
      </c>
      <c r="E16" s="26">
        <v>20628</v>
      </c>
      <c r="F16" s="26">
        <v>19222</v>
      </c>
      <c r="G16" s="26">
        <v>25198</v>
      </c>
      <c r="H16" s="26">
        <v>25740</v>
      </c>
      <c r="I16" s="26">
        <v>28622</v>
      </c>
      <c r="J16" s="26">
        <v>35190</v>
      </c>
      <c r="K16" s="26">
        <v>40177</v>
      </c>
      <c r="L16" s="26">
        <v>29357</v>
      </c>
      <c r="M16" s="26">
        <v>29984</v>
      </c>
      <c r="N16" s="26">
        <v>33708</v>
      </c>
      <c r="O16" s="13">
        <f t="shared" si="1"/>
        <v>36594.57854722489</v>
      </c>
      <c r="P16" s="13">
        <f t="shared" si="1"/>
        <v>38035.744660269709</v>
      </c>
      <c r="Q16" s="13">
        <f t="shared" si="1"/>
        <v>39476.910773314521</v>
      </c>
      <c r="R16" s="13">
        <f t="shared" si="1"/>
        <v>40918.076886359333</v>
      </c>
      <c r="S16" s="13">
        <f t="shared" si="1"/>
        <v>42359.242999404145</v>
      </c>
      <c r="T16" s="13">
        <f t="shared" si="1"/>
        <v>43800.409112448964</v>
      </c>
    </row>
    <row r="17" spans="2:24" ht="22" x14ac:dyDescent="0.3">
      <c r="B17" s="28" t="s">
        <v>41</v>
      </c>
      <c r="C17" s="13"/>
      <c r="D17" s="26">
        <v>25471</v>
      </c>
      <c r="E17" s="26">
        <v>22831</v>
      </c>
      <c r="F17" s="26">
        <v>25850</v>
      </c>
      <c r="G17" s="26">
        <v>18380</v>
      </c>
      <c r="H17" s="26">
        <v>21280</v>
      </c>
      <c r="I17" s="26">
        <v>23724</v>
      </c>
      <c r="J17" s="26">
        <v>31862</v>
      </c>
      <c r="K17" s="26">
        <v>29292</v>
      </c>
      <c r="L17" s="26">
        <v>28300</v>
      </c>
      <c r="M17" s="26">
        <v>26694</v>
      </c>
      <c r="N17" s="26">
        <v>28023</v>
      </c>
      <c r="O17" s="13">
        <f t="shared" si="1"/>
        <v>29407.328261307088</v>
      </c>
      <c r="P17" s="13">
        <f t="shared" si="1"/>
        <v>30014.1575776112</v>
      </c>
      <c r="Q17" s="13">
        <f t="shared" si="1"/>
        <v>30620.986893915313</v>
      </c>
      <c r="R17" s="13">
        <f t="shared" si="1"/>
        <v>31227.816210219426</v>
      </c>
      <c r="S17" s="13">
        <f t="shared" si="1"/>
        <v>31834.645526523534</v>
      </c>
      <c r="T17" s="13">
        <f t="shared" si="1"/>
        <v>32441.474842827647</v>
      </c>
    </row>
    <row r="18" spans="2:24" ht="22" x14ac:dyDescent="0.3">
      <c r="B18" s="28" t="s">
        <v>42</v>
      </c>
      <c r="C18" s="13"/>
      <c r="D18" s="26">
        <v>19909</v>
      </c>
      <c r="E18" s="26">
        <v>24348</v>
      </c>
      <c r="F18" s="26">
        <v>29980</v>
      </c>
      <c r="G18" s="26">
        <v>39748</v>
      </c>
      <c r="H18" s="26">
        <v>46291</v>
      </c>
      <c r="I18" s="26">
        <v>53768</v>
      </c>
      <c r="J18" s="26">
        <v>68425</v>
      </c>
      <c r="K18" s="26">
        <v>78129</v>
      </c>
      <c r="L18" s="26">
        <v>85200</v>
      </c>
      <c r="M18" s="26">
        <v>96169</v>
      </c>
      <c r="N18" s="26">
        <v>109158</v>
      </c>
      <c r="O18" s="13">
        <f t="shared" si="1"/>
        <v>119423.50063924141</v>
      </c>
      <c r="P18" s="13">
        <f t="shared" si="1"/>
        <v>129696.24628020104</v>
      </c>
      <c r="Q18" s="13">
        <f t="shared" si="1"/>
        <v>139968.99192116066</v>
      </c>
      <c r="R18" s="13">
        <f t="shared" si="1"/>
        <v>150241.73756212031</v>
      </c>
      <c r="S18" s="13">
        <f t="shared" si="1"/>
        <v>160514.48320307993</v>
      </c>
      <c r="T18" s="13">
        <f t="shared" si="1"/>
        <v>170787.22884403955</v>
      </c>
      <c r="X18" s="30"/>
    </row>
    <row r="19" spans="2:24" ht="22" x14ac:dyDescent="0.3">
      <c r="B19" s="28" t="s">
        <v>43</v>
      </c>
      <c r="C19" s="13"/>
      <c r="D19" s="26">
        <v>10067</v>
      </c>
      <c r="E19" s="26">
        <v>11132</v>
      </c>
      <c r="F19" s="26">
        <v>12863</v>
      </c>
      <c r="G19" s="26">
        <v>17381</v>
      </c>
      <c r="H19" s="26">
        <v>24482</v>
      </c>
      <c r="I19" s="26">
        <v>30620</v>
      </c>
      <c r="J19" s="26">
        <v>38367</v>
      </c>
      <c r="K19" s="26">
        <v>41241</v>
      </c>
      <c r="L19" s="26">
        <v>39845</v>
      </c>
      <c r="M19" s="26">
        <v>37005</v>
      </c>
      <c r="N19" s="26">
        <v>35686</v>
      </c>
      <c r="O19" s="13">
        <v>36940</v>
      </c>
      <c r="P19" s="13">
        <v>39030</v>
      </c>
      <c r="Q19" s="13">
        <v>40870</v>
      </c>
      <c r="R19" s="13">
        <v>42450</v>
      </c>
      <c r="S19" s="13">
        <v>44115</v>
      </c>
      <c r="T19" s="13">
        <v>46300</v>
      </c>
    </row>
    <row r="20" spans="2:24" ht="22" x14ac:dyDescent="0.3">
      <c r="B20" s="28"/>
      <c r="C20" s="13"/>
      <c r="D20" s="13"/>
      <c r="E20" s="13"/>
      <c r="F20" s="13"/>
      <c r="G20" s="13"/>
      <c r="H20" s="13"/>
      <c r="I20" s="13"/>
      <c r="J20" s="13"/>
      <c r="K20" s="13"/>
      <c r="L20" s="13"/>
      <c r="M20" s="13"/>
      <c r="N20" s="13"/>
      <c r="O20" s="13"/>
      <c r="P20" s="13"/>
      <c r="Q20" s="13"/>
      <c r="R20" s="13"/>
      <c r="S20" s="13"/>
      <c r="T20" s="13"/>
    </row>
    <row r="21" spans="2:24" ht="23" thickBot="1" x14ac:dyDescent="0.35">
      <c r="B21" s="28" t="s">
        <v>69</v>
      </c>
      <c r="C21" s="13"/>
      <c r="D21" s="27">
        <f>SUM(D15:D19)</f>
        <v>233715</v>
      </c>
      <c r="E21" s="27">
        <f t="shared" ref="E21:T21" si="2">SUM(E15:E19)</f>
        <v>215639</v>
      </c>
      <c r="F21" s="27">
        <f t="shared" si="2"/>
        <v>229234</v>
      </c>
      <c r="G21" s="27">
        <f t="shared" si="2"/>
        <v>265595</v>
      </c>
      <c r="H21" s="27">
        <f t="shared" si="2"/>
        <v>260174</v>
      </c>
      <c r="I21" s="27">
        <f t="shared" si="2"/>
        <v>274515</v>
      </c>
      <c r="J21" s="27">
        <f t="shared" si="2"/>
        <v>365817</v>
      </c>
      <c r="K21" s="27">
        <f t="shared" si="2"/>
        <v>394328</v>
      </c>
      <c r="L21" s="27">
        <f t="shared" si="2"/>
        <v>383285</v>
      </c>
      <c r="M21" s="27">
        <f t="shared" si="2"/>
        <v>391035</v>
      </c>
      <c r="N21" s="27">
        <f t="shared" si="2"/>
        <v>416161</v>
      </c>
      <c r="O21" s="27">
        <f t="shared" si="2"/>
        <v>439922.65438008256</v>
      </c>
      <c r="P21" s="27">
        <f t="shared" si="2"/>
        <v>461934.74141981301</v>
      </c>
      <c r="Q21" s="27">
        <f t="shared" si="2"/>
        <v>483696.82845954353</v>
      </c>
      <c r="R21" s="27">
        <f t="shared" si="2"/>
        <v>505198.91549927398</v>
      </c>
      <c r="S21" s="27">
        <f t="shared" si="2"/>
        <v>526786.00253900455</v>
      </c>
      <c r="T21" s="27">
        <f t="shared" si="2"/>
        <v>548893.08957873494</v>
      </c>
    </row>
    <row r="22" spans="2:24" ht="34" x14ac:dyDescent="0.4">
      <c r="B22" s="224"/>
      <c r="C22" s="13"/>
      <c r="D22" s="13"/>
      <c r="E22" s="13"/>
      <c r="F22" s="13"/>
      <c r="G22" s="13"/>
      <c r="H22" s="13"/>
      <c r="I22" s="13"/>
      <c r="J22" s="13"/>
      <c r="K22" s="13"/>
      <c r="L22" s="13"/>
      <c r="M22" s="13"/>
      <c r="N22" s="13"/>
      <c r="O22" s="13"/>
      <c r="P22" s="13"/>
      <c r="Q22" s="13"/>
      <c r="R22" s="13"/>
      <c r="S22" s="13"/>
      <c r="T22" s="13"/>
    </row>
    <row r="23" spans="2:24" ht="22" x14ac:dyDescent="0.3">
      <c r="B23" s="28"/>
    </row>
    <row r="24" spans="2:24" ht="22" x14ac:dyDescent="0.3">
      <c r="B24" s="7"/>
    </row>
    <row r="25" spans="2:24" ht="22" x14ac:dyDescent="0.3">
      <c r="B25" s="28"/>
      <c r="E25" s="24">
        <f>E15/D15-1</f>
        <v>-0.11829774059764842</v>
      </c>
      <c r="F25" s="24">
        <f t="shared" ref="F25:T25" si="3">F15/E15-1</f>
        <v>3.3789319678127372E-2</v>
      </c>
      <c r="G25" s="24">
        <f t="shared" si="3"/>
        <v>0.16677870633106662</v>
      </c>
      <c r="H25" s="24">
        <f t="shared" si="3"/>
        <v>-0.13649871427878313</v>
      </c>
      <c r="I25" s="24">
        <f t="shared" si="3"/>
        <v>-3.2307681502447672E-2</v>
      </c>
      <c r="J25" s="24">
        <f t="shared" si="3"/>
        <v>0.39331983364905176</v>
      </c>
      <c r="K25" s="24">
        <f t="shared" si="3"/>
        <v>7.0405734139696641E-2</v>
      </c>
      <c r="L25" s="24">
        <f t="shared" si="3"/>
        <v>-2.3874757286278081E-2</v>
      </c>
      <c r="M25" s="24">
        <f t="shared" si="3"/>
        <v>2.9912804175826757E-3</v>
      </c>
      <c r="N25" s="24">
        <f t="shared" si="3"/>
        <v>4.1767942619406195E-2</v>
      </c>
      <c r="O25" s="24">
        <f t="shared" si="3"/>
        <v>3.8033298656919623E-2</v>
      </c>
      <c r="P25" s="24">
        <f t="shared" si="3"/>
        <v>3.4939520869130325E-2</v>
      </c>
      <c r="Q25" s="24">
        <f t="shared" si="3"/>
        <v>3.3759963905705792E-2</v>
      </c>
      <c r="R25" s="24">
        <f t="shared" si="3"/>
        <v>3.2657449586416032E-2</v>
      </c>
      <c r="S25" s="24">
        <f t="shared" si="3"/>
        <v>3.1624668567001857E-2</v>
      </c>
      <c r="T25" s="24">
        <f t="shared" si="3"/>
        <v>3.0655207781072891E-2</v>
      </c>
    </row>
    <row r="26" spans="2:24" ht="22" x14ac:dyDescent="0.3">
      <c r="B26" s="28"/>
      <c r="E26" s="13"/>
      <c r="F26" s="13"/>
      <c r="G26" s="13"/>
      <c r="H26" s="13"/>
      <c r="I26" s="13"/>
      <c r="J26" s="13"/>
      <c r="K26" s="13"/>
      <c r="L26" s="13"/>
      <c r="M26" s="13"/>
      <c r="N26" s="13"/>
      <c r="O26" s="13"/>
      <c r="P26" s="13"/>
      <c r="Q26" s="13"/>
      <c r="R26" s="13"/>
      <c r="S26" s="13"/>
      <c r="T26" s="13"/>
    </row>
    <row r="27" spans="2:24" ht="22" x14ac:dyDescent="0.3">
      <c r="B27" s="7" t="s">
        <v>40</v>
      </c>
      <c r="E27" s="13"/>
      <c r="F27" s="13"/>
      <c r="G27" s="13"/>
      <c r="H27" s="13"/>
      <c r="I27" s="13"/>
      <c r="J27" s="13"/>
      <c r="K27" s="13"/>
      <c r="L27" s="13"/>
      <c r="M27" s="13"/>
      <c r="N27" s="13"/>
      <c r="O27" s="13"/>
      <c r="P27" s="13"/>
      <c r="Q27" s="13"/>
      <c r="R27" s="13"/>
      <c r="S27" s="13"/>
      <c r="T27" s="13"/>
    </row>
    <row r="28" spans="2:24" ht="22" x14ac:dyDescent="0.3">
      <c r="B28" s="28" t="s">
        <v>68</v>
      </c>
      <c r="E28" s="24">
        <f>E16/D16-1</f>
        <v>-0.11189563869634478</v>
      </c>
      <c r="F28" s="24">
        <f t="shared" ref="F28:T28" si="4">F16/E16-1</f>
        <v>-6.8159782819468662E-2</v>
      </c>
      <c r="G28" s="24">
        <f t="shared" si="4"/>
        <v>0.31089376755800635</v>
      </c>
      <c r="H28" s="24">
        <f t="shared" si="4"/>
        <v>2.1509643622509733E-2</v>
      </c>
      <c r="I28" s="24">
        <f t="shared" si="4"/>
        <v>0.11196581196581201</v>
      </c>
      <c r="J28" s="24">
        <f t="shared" si="4"/>
        <v>0.22947383131856625</v>
      </c>
      <c r="K28" s="24">
        <f t="shared" si="4"/>
        <v>0.14171639670360903</v>
      </c>
      <c r="L28" s="24">
        <f t="shared" si="4"/>
        <v>-0.26930831072504169</v>
      </c>
      <c r="M28" s="24">
        <f t="shared" si="4"/>
        <v>2.1357768164322E-2</v>
      </c>
      <c r="N28" s="24">
        <f t="shared" si="4"/>
        <v>0.12419957310565644</v>
      </c>
      <c r="O28" s="24">
        <f t="shared" si="4"/>
        <v>8.5634821028387709E-2</v>
      </c>
      <c r="P28" s="24">
        <f t="shared" si="4"/>
        <v>3.9381956843279609E-2</v>
      </c>
      <c r="Q28" s="24">
        <f t="shared" si="4"/>
        <v>3.7889783042690972E-2</v>
      </c>
      <c r="R28" s="24">
        <f t="shared" si="4"/>
        <v>3.6506557499403014E-2</v>
      </c>
      <c r="S28" s="24">
        <f t="shared" si="4"/>
        <v>3.5220768489372611E-2</v>
      </c>
      <c r="T28" s="24">
        <f t="shared" si="4"/>
        <v>3.4022470917742575E-2</v>
      </c>
    </row>
    <row r="29" spans="2:24" ht="22" x14ac:dyDescent="0.3">
      <c r="B29" s="28"/>
      <c r="E29" s="13"/>
      <c r="F29" s="13"/>
      <c r="G29" s="13"/>
      <c r="H29" s="13"/>
      <c r="I29" s="13"/>
      <c r="J29" s="13"/>
      <c r="K29" s="13"/>
      <c r="L29" s="13"/>
      <c r="M29" s="13"/>
      <c r="N29" s="13"/>
      <c r="O29" s="13"/>
      <c r="P29" s="13"/>
      <c r="Q29" s="13"/>
      <c r="R29" s="13"/>
      <c r="S29" s="13"/>
      <c r="T29" s="13"/>
    </row>
    <row r="30" spans="2:24" ht="22" x14ac:dyDescent="0.3">
      <c r="B30" s="7" t="s">
        <v>41</v>
      </c>
      <c r="E30" s="13"/>
      <c r="F30" s="13"/>
      <c r="G30" s="13"/>
      <c r="H30" s="13"/>
      <c r="I30" s="13"/>
      <c r="J30" s="13"/>
      <c r="K30" s="13"/>
      <c r="L30" s="13"/>
      <c r="M30" s="13"/>
      <c r="N30" s="13"/>
      <c r="O30" s="13"/>
      <c r="P30" s="13"/>
      <c r="Q30" s="13"/>
      <c r="R30" s="13"/>
      <c r="S30" s="13"/>
      <c r="T30" s="13"/>
    </row>
    <row r="31" spans="2:24" ht="22" x14ac:dyDescent="0.3">
      <c r="B31" s="28" t="s">
        <v>68</v>
      </c>
      <c r="E31" s="24">
        <f>E17/D17-1</f>
        <v>-0.10364728514781518</v>
      </c>
      <c r="F31" s="24">
        <f t="shared" ref="F31:T31" si="5">F17/E17-1</f>
        <v>0.13223249091148004</v>
      </c>
      <c r="G31" s="24">
        <f t="shared" si="5"/>
        <v>-0.28897485493230179</v>
      </c>
      <c r="H31" s="24">
        <f t="shared" si="5"/>
        <v>0.15778019586507064</v>
      </c>
      <c r="I31" s="24">
        <f t="shared" si="5"/>
        <v>0.11484962406015042</v>
      </c>
      <c r="J31" s="24">
        <f t="shared" si="5"/>
        <v>0.34302815714044854</v>
      </c>
      <c r="K31" s="24">
        <f t="shared" si="5"/>
        <v>-8.0660347749670458E-2</v>
      </c>
      <c r="L31" s="24">
        <f t="shared" si="5"/>
        <v>-3.3865901952751631E-2</v>
      </c>
      <c r="M31" s="24">
        <f t="shared" si="5"/>
        <v>-5.674911660777382E-2</v>
      </c>
      <c r="N31" s="24">
        <f t="shared" si="5"/>
        <v>4.9786468869408962E-2</v>
      </c>
      <c r="O31" s="24">
        <f t="shared" si="5"/>
        <v>4.9399716707957397E-2</v>
      </c>
      <c r="P31" s="24">
        <f t="shared" si="5"/>
        <v>2.0635309366153987E-2</v>
      </c>
      <c r="Q31" s="24">
        <f t="shared" si="5"/>
        <v>2.0218102564929952E-2</v>
      </c>
      <c r="R31" s="24">
        <f t="shared" si="5"/>
        <v>1.9817431698280652E-2</v>
      </c>
      <c r="S31" s="24">
        <f t="shared" si="5"/>
        <v>1.9432332770855876E-2</v>
      </c>
      <c r="T31" s="24">
        <f t="shared" si="5"/>
        <v>1.9061915289696696E-2</v>
      </c>
    </row>
    <row r="32" spans="2:24" ht="22" x14ac:dyDescent="0.3">
      <c r="B32" s="28"/>
      <c r="E32" s="13"/>
      <c r="F32" s="13"/>
      <c r="G32" s="13"/>
      <c r="H32" s="13"/>
      <c r="I32" s="13"/>
      <c r="J32" s="13"/>
      <c r="K32" s="13"/>
      <c r="L32" s="13"/>
      <c r="M32" s="13"/>
      <c r="N32" s="13"/>
      <c r="O32" s="13"/>
      <c r="P32" s="13"/>
      <c r="Q32" s="13"/>
      <c r="R32" s="13"/>
      <c r="S32" s="13"/>
      <c r="T32" s="13"/>
    </row>
    <row r="33" spans="2:20" ht="22" x14ac:dyDescent="0.3">
      <c r="B33" s="7" t="s">
        <v>42</v>
      </c>
      <c r="E33" s="13"/>
      <c r="F33" s="13"/>
      <c r="G33" s="13"/>
      <c r="H33" s="13"/>
      <c r="I33" s="13"/>
      <c r="J33" s="13"/>
      <c r="K33" s="13"/>
      <c r="L33" s="13"/>
      <c r="M33" s="13"/>
      <c r="N33" s="13"/>
      <c r="O33" s="13"/>
      <c r="P33" s="13"/>
      <c r="Q33" s="13"/>
      <c r="R33" s="13"/>
      <c r="S33" s="13"/>
      <c r="T33" s="13"/>
    </row>
    <row r="34" spans="2:20" ht="22" x14ac:dyDescent="0.3">
      <c r="B34" s="28" t="s">
        <v>68</v>
      </c>
      <c r="E34" s="24">
        <f>E18/D18-1</f>
        <v>0.22296448842232164</v>
      </c>
      <c r="F34" s="24">
        <f t="shared" ref="F34:T34" si="6">F18/E18-1</f>
        <v>0.23131263348118947</v>
      </c>
      <c r="G34" s="24">
        <f t="shared" si="6"/>
        <v>0.3258172114743163</v>
      </c>
      <c r="H34" s="24">
        <f t="shared" si="6"/>
        <v>0.16461205595250084</v>
      </c>
      <c r="I34" s="24">
        <f t="shared" si="6"/>
        <v>0.16152167807997242</v>
      </c>
      <c r="J34" s="24">
        <f t="shared" si="6"/>
        <v>0.27259708376729663</v>
      </c>
      <c r="K34" s="24">
        <f t="shared" si="6"/>
        <v>0.14181951041286078</v>
      </c>
      <c r="L34" s="24">
        <f t="shared" si="6"/>
        <v>9.0504166186691215E-2</v>
      </c>
      <c r="M34" s="24">
        <f t="shared" si="6"/>
        <v>0.12874413145539898</v>
      </c>
      <c r="N34" s="24">
        <f t="shared" si="6"/>
        <v>0.13506431386413498</v>
      </c>
      <c r="O34" s="24">
        <f t="shared" si="6"/>
        <v>9.4042586335782996E-2</v>
      </c>
      <c r="P34" s="24">
        <f t="shared" si="6"/>
        <v>8.6019465063178036E-2</v>
      </c>
      <c r="Q34" s="24">
        <f t="shared" si="6"/>
        <v>7.9206190892880279E-2</v>
      </c>
      <c r="R34" s="24">
        <f t="shared" si="6"/>
        <v>7.339301012288435E-2</v>
      </c>
      <c r="S34" s="24">
        <f t="shared" si="6"/>
        <v>6.8374779256743956E-2</v>
      </c>
      <c r="T34" s="24">
        <f t="shared" si="6"/>
        <v>6.3998870606353453E-2</v>
      </c>
    </row>
    <row r="35" spans="2:20" ht="22" x14ac:dyDescent="0.3">
      <c r="B35" s="28"/>
      <c r="E35" s="13"/>
      <c r="F35" s="13"/>
      <c r="G35" s="13"/>
      <c r="H35" s="13"/>
      <c r="I35" s="13"/>
      <c r="J35" s="13"/>
      <c r="K35" s="13"/>
      <c r="L35" s="13"/>
      <c r="M35" s="13"/>
      <c r="N35" s="13"/>
      <c r="O35" s="13"/>
      <c r="P35" s="13"/>
      <c r="Q35" s="13"/>
      <c r="R35" s="13"/>
      <c r="S35" s="13"/>
      <c r="T35" s="13"/>
    </row>
    <row r="36" spans="2:20" ht="22" x14ac:dyDescent="0.3">
      <c r="B36" s="7" t="s">
        <v>43</v>
      </c>
      <c r="E36" s="13"/>
      <c r="F36" s="13"/>
      <c r="G36" s="13"/>
      <c r="H36" s="13"/>
      <c r="I36" s="13"/>
      <c r="J36" s="13"/>
      <c r="K36" s="13"/>
      <c r="L36" s="13"/>
      <c r="M36" s="13"/>
      <c r="N36" s="13"/>
      <c r="O36" s="13"/>
      <c r="P36" s="13"/>
      <c r="Q36" s="13"/>
      <c r="R36" s="13"/>
      <c r="S36" s="13"/>
      <c r="T36" s="13"/>
    </row>
    <row r="37" spans="2:20" ht="22" x14ac:dyDescent="0.3">
      <c r="B37" s="28" t="s">
        <v>68</v>
      </c>
      <c r="E37" s="24">
        <f>E19/D19-1</f>
        <v>0.10579119896692157</v>
      </c>
      <c r="F37" s="24">
        <f t="shared" ref="F37:T37" si="7">F19/E19-1</f>
        <v>0.15549766439094492</v>
      </c>
      <c r="G37" s="24">
        <f t="shared" si="7"/>
        <v>0.35123999067091649</v>
      </c>
      <c r="H37" s="24">
        <f t="shared" si="7"/>
        <v>0.40854956561762834</v>
      </c>
      <c r="I37" s="24">
        <f t="shared" si="7"/>
        <v>0.25071481088146386</v>
      </c>
      <c r="J37" s="24">
        <f t="shared" si="7"/>
        <v>0.2530045721750489</v>
      </c>
      <c r="K37" s="24">
        <f t="shared" si="7"/>
        <v>7.4908124169208001E-2</v>
      </c>
      <c r="L37" s="24">
        <f t="shared" si="7"/>
        <v>-3.3849809655439933E-2</v>
      </c>
      <c r="M37" s="24">
        <f t="shared" si="7"/>
        <v>-7.1276195256619435E-2</v>
      </c>
      <c r="N37" s="24">
        <f t="shared" si="7"/>
        <v>-3.5643831914606183E-2</v>
      </c>
      <c r="O37" s="24">
        <f t="shared" si="7"/>
        <v>3.5139830745950729E-2</v>
      </c>
      <c r="P37" s="24">
        <f t="shared" si="7"/>
        <v>5.6578234975636077E-2</v>
      </c>
      <c r="Q37" s="24">
        <f t="shared" si="7"/>
        <v>4.7143223161670411E-2</v>
      </c>
      <c r="R37" s="24">
        <f t="shared" si="7"/>
        <v>3.8659163200391422E-2</v>
      </c>
      <c r="S37" s="24">
        <f t="shared" si="7"/>
        <v>3.9222614840989323E-2</v>
      </c>
      <c r="T37" s="24">
        <f t="shared" si="7"/>
        <v>4.9529638444973267E-2</v>
      </c>
    </row>
    <row r="38" spans="2:20" ht="22" x14ac:dyDescent="0.3">
      <c r="B38" s="28"/>
      <c r="E38" s="13"/>
      <c r="F38" s="13"/>
      <c r="G38" s="13"/>
      <c r="H38" s="13"/>
      <c r="I38" s="13"/>
      <c r="J38" s="13"/>
      <c r="K38" s="13"/>
      <c r="L38" s="13"/>
      <c r="M38" s="13"/>
      <c r="N38" s="13"/>
      <c r="O38" s="13"/>
      <c r="P38" s="13"/>
      <c r="Q38" s="13"/>
      <c r="R38" s="13"/>
      <c r="S38" s="13"/>
      <c r="T38" s="13"/>
    </row>
    <row r="39" spans="2:20" ht="17" customHeight="1" x14ac:dyDescent="0.3">
      <c r="B39" s="7" t="s">
        <v>44</v>
      </c>
      <c r="E39" s="13"/>
      <c r="F39" s="13"/>
      <c r="G39" s="13"/>
      <c r="H39" s="13"/>
      <c r="I39" s="13"/>
      <c r="J39" s="13"/>
      <c r="K39" s="13"/>
      <c r="L39" s="13"/>
      <c r="M39" s="13"/>
      <c r="N39" s="13"/>
      <c r="O39" s="13"/>
      <c r="P39" s="13"/>
      <c r="Q39" s="13"/>
      <c r="R39" s="13"/>
      <c r="S39" s="13"/>
      <c r="T39" s="13"/>
    </row>
    <row r="40" spans="2:20" ht="22" customHeight="1" thickBot="1" x14ac:dyDescent="0.35">
      <c r="B40" s="28" t="s">
        <v>68</v>
      </c>
      <c r="C40" s="38"/>
      <c r="D40" s="38"/>
      <c r="E40" s="226">
        <f>E21/D21-1</f>
        <v>-7.7342061913013738E-2</v>
      </c>
      <c r="F40" s="226">
        <f t="shared" ref="F40:T40" si="8">F21/E21-1</f>
        <v>6.304518199398057E-2</v>
      </c>
      <c r="G40" s="226">
        <f t="shared" si="8"/>
        <v>0.15861957650261305</v>
      </c>
      <c r="H40" s="226">
        <f t="shared" si="8"/>
        <v>-2.04107758052674E-2</v>
      </c>
      <c r="I40" s="226">
        <f t="shared" si="8"/>
        <v>5.5120803769784787E-2</v>
      </c>
      <c r="J40" s="226">
        <f t="shared" si="8"/>
        <v>0.33259384733074704</v>
      </c>
      <c r="K40" s="226">
        <f t="shared" si="8"/>
        <v>7.7937876041846099E-2</v>
      </c>
      <c r="L40" s="226">
        <f t="shared" si="8"/>
        <v>-2.800460530319937E-2</v>
      </c>
      <c r="M40" s="25">
        <f t="shared" si="8"/>
        <v>2.021994077514111E-2</v>
      </c>
      <c r="N40" s="25">
        <f t="shared" si="8"/>
        <v>6.425511782832749E-2</v>
      </c>
      <c r="O40" s="25">
        <f t="shared" si="8"/>
        <v>5.7097263751487048E-2</v>
      </c>
      <c r="P40" s="25">
        <f t="shared" si="8"/>
        <v>5.0036266194903645E-2</v>
      </c>
      <c r="Q40" s="25">
        <f t="shared" si="8"/>
        <v>4.7110739003613622E-2</v>
      </c>
      <c r="R40" s="25">
        <f t="shared" si="8"/>
        <v>4.4453644875467546E-2</v>
      </c>
      <c r="S40" s="25">
        <f t="shared" si="8"/>
        <v>4.272987604970746E-2</v>
      </c>
      <c r="T40" s="25">
        <f t="shared" si="8"/>
        <v>4.1965972772963989E-2</v>
      </c>
    </row>
    <row r="41" spans="2:20" ht="19" x14ac:dyDescent="0.25">
      <c r="E41" s="13"/>
      <c r="F41" s="13"/>
      <c r="G41" s="13"/>
      <c r="H41" s="13"/>
      <c r="I41" s="13"/>
      <c r="J41" s="13"/>
      <c r="K41" s="13"/>
      <c r="L41" s="13"/>
      <c r="M41" s="13"/>
      <c r="N41" s="13"/>
      <c r="O41" s="13"/>
      <c r="P41" s="13"/>
      <c r="Q41" s="13"/>
      <c r="R41" s="13"/>
      <c r="S41" s="13"/>
      <c r="T41" s="13"/>
    </row>
    <row r="75" spans="2:20" ht="19" x14ac:dyDescent="0.25">
      <c r="B75" s="9"/>
    </row>
    <row r="76" spans="2:20" ht="29" x14ac:dyDescent="0.35">
      <c r="B76" s="37" t="s">
        <v>85</v>
      </c>
      <c r="C76" s="18"/>
      <c r="D76" s="18"/>
      <c r="E76" s="18"/>
      <c r="F76" s="18"/>
      <c r="G76" s="18"/>
      <c r="H76" s="18"/>
      <c r="I76" s="18"/>
      <c r="J76" s="18"/>
      <c r="K76" s="18"/>
      <c r="L76" s="18"/>
      <c r="M76" s="18"/>
      <c r="N76" s="18"/>
      <c r="O76" s="18"/>
      <c r="P76" s="18"/>
      <c r="Q76" s="18"/>
      <c r="R76" s="18"/>
      <c r="S76" s="18"/>
      <c r="T76" s="18"/>
    </row>
    <row r="81" spans="2:9" ht="23" thickBot="1" x14ac:dyDescent="0.35">
      <c r="B81" s="14"/>
      <c r="C81" s="14"/>
      <c r="D81" s="34" t="s">
        <v>1</v>
      </c>
      <c r="E81" s="34" t="s">
        <v>2</v>
      </c>
      <c r="F81" s="34" t="s">
        <v>3</v>
      </c>
      <c r="G81" s="34" t="s">
        <v>4</v>
      </c>
      <c r="H81" s="34" t="s">
        <v>5</v>
      </c>
      <c r="I81" s="34" t="s">
        <v>6</v>
      </c>
    </row>
    <row r="82" spans="2:9" ht="22" x14ac:dyDescent="0.3">
      <c r="B82" s="14"/>
      <c r="C82" s="14"/>
      <c r="D82" s="35"/>
      <c r="E82" s="35"/>
      <c r="F82" s="35"/>
      <c r="G82" s="35"/>
      <c r="H82" s="35"/>
      <c r="I82" s="35"/>
    </row>
    <row r="83" spans="2:9" ht="22" x14ac:dyDescent="0.3">
      <c r="B83" s="14"/>
      <c r="C83" s="14"/>
      <c r="D83" s="14"/>
      <c r="E83" s="14"/>
      <c r="F83" s="14"/>
      <c r="G83" s="14"/>
      <c r="H83" s="14"/>
      <c r="I83" s="14"/>
    </row>
    <row r="84" spans="2:9" ht="22" x14ac:dyDescent="0.3">
      <c r="B84" s="14"/>
      <c r="D84" s="97"/>
      <c r="E84" s="97"/>
      <c r="F84" s="97"/>
      <c r="G84" s="97"/>
      <c r="H84" s="97"/>
      <c r="I84" s="97"/>
    </row>
    <row r="85" spans="2:9" ht="22" x14ac:dyDescent="0.3">
      <c r="B85" s="14" t="s">
        <v>83</v>
      </c>
      <c r="C85" s="14"/>
      <c r="D85" s="99">
        <v>4.4999999999999998E-2</v>
      </c>
      <c r="E85" s="100">
        <v>3.2000000000000001E-2</v>
      </c>
      <c r="F85" s="100">
        <v>2.8000000000000001E-2</v>
      </c>
      <c r="G85" s="100">
        <v>1.4999999999999999E-2</v>
      </c>
      <c r="H85" s="100">
        <v>8.0000000000000002E-3</v>
      </c>
      <c r="I85" s="101">
        <v>1E-3</v>
      </c>
    </row>
    <row r="86" spans="2:9" ht="22" x14ac:dyDescent="0.3">
      <c r="B86" s="14" t="s">
        <v>86</v>
      </c>
      <c r="C86" s="14"/>
      <c r="D86" s="53">
        <v>5.7099999999999998E-2</v>
      </c>
      <c r="E86" s="98">
        <v>0.05</v>
      </c>
      <c r="F86" s="98">
        <v>4.7100000000000003E-2</v>
      </c>
      <c r="G86" s="98">
        <v>4.4499999999999998E-2</v>
      </c>
      <c r="H86" s="98">
        <v>4.2700000000000002E-2</v>
      </c>
      <c r="I86" s="54">
        <v>4.2000000000000003E-2</v>
      </c>
    </row>
    <row r="87" spans="2:9" ht="22" x14ac:dyDescent="0.3">
      <c r="B87" s="14" t="s">
        <v>84</v>
      </c>
      <c r="C87" s="14"/>
      <c r="D87" s="102">
        <v>7.3999999999999996E-2</v>
      </c>
      <c r="E87" s="103">
        <v>7.8E-2</v>
      </c>
      <c r="F87" s="103">
        <v>8.2000000000000003E-2</v>
      </c>
      <c r="G87" s="103">
        <v>8.5000000000000006E-2</v>
      </c>
      <c r="H87" s="103">
        <v>0.09</v>
      </c>
      <c r="I87" s="104">
        <v>9.1499999999999998E-2</v>
      </c>
    </row>
    <row r="88" spans="2:9" ht="22" x14ac:dyDescent="0.3">
      <c r="B88" s="14"/>
      <c r="D88" s="97"/>
      <c r="E88" s="97"/>
      <c r="F88" s="97"/>
      <c r="G88" s="97"/>
      <c r="H88" s="97"/>
      <c r="I88" s="97"/>
    </row>
    <row r="89" spans="2:9" ht="22" x14ac:dyDescent="0.3">
      <c r="B89" s="14"/>
      <c r="C89" s="14"/>
      <c r="D89" s="36"/>
      <c r="E89" s="36"/>
      <c r="F89" s="36"/>
      <c r="G89" s="36"/>
      <c r="H89" s="36"/>
      <c r="I89" s="36"/>
    </row>
    <row r="92" spans="2:9" ht="19" x14ac:dyDescent="0.25">
      <c r="B92" s="13"/>
    </row>
    <row r="94" spans="2:9" ht="19" x14ac:dyDescent="0.25">
      <c r="B94" s="13"/>
    </row>
    <row r="96" spans="2:9" ht="19" x14ac:dyDescent="0.25">
      <c r="B96" s="13"/>
    </row>
    <row r="98" spans="2:20" ht="29" x14ac:dyDescent="0.35">
      <c r="B98" s="37" t="s">
        <v>70</v>
      </c>
      <c r="C98" s="18"/>
      <c r="D98" s="18"/>
      <c r="E98" s="18"/>
      <c r="F98" s="18"/>
      <c r="G98" s="18"/>
      <c r="H98" s="18"/>
      <c r="I98" s="18"/>
      <c r="J98" s="18"/>
      <c r="K98" s="18"/>
      <c r="L98" s="18"/>
      <c r="M98" s="18"/>
      <c r="N98" s="18"/>
      <c r="O98" s="18"/>
      <c r="P98" s="18"/>
      <c r="Q98" s="18"/>
      <c r="R98" s="18"/>
      <c r="S98" s="18"/>
      <c r="T98" s="18"/>
    </row>
    <row r="100" spans="2:20" ht="17" thickBot="1" x14ac:dyDescent="0.25">
      <c r="D100" s="15">
        <v>2015</v>
      </c>
      <c r="E100" s="15">
        <v>2016</v>
      </c>
      <c r="F100" s="15">
        <v>2017</v>
      </c>
      <c r="G100" s="15">
        <v>2018</v>
      </c>
      <c r="H100" s="15">
        <v>2019</v>
      </c>
      <c r="I100" s="15">
        <v>2020</v>
      </c>
      <c r="J100" s="15">
        <v>2021</v>
      </c>
      <c r="K100" s="15">
        <v>2022</v>
      </c>
      <c r="L100" s="15">
        <v>2023</v>
      </c>
      <c r="M100" s="15">
        <v>2024</v>
      </c>
      <c r="N100" s="15">
        <v>2025</v>
      </c>
      <c r="O100" s="32">
        <v>2026</v>
      </c>
      <c r="P100" s="32">
        <v>2027</v>
      </c>
      <c r="Q100" s="32">
        <v>2028</v>
      </c>
      <c r="R100" s="32">
        <v>2029</v>
      </c>
      <c r="S100" s="32">
        <v>2030</v>
      </c>
      <c r="T100" s="32">
        <v>2031</v>
      </c>
    </row>
    <row r="103" spans="2:20" x14ac:dyDescent="0.2">
      <c r="B103" s="1" t="s">
        <v>71</v>
      </c>
      <c r="D103" s="1">
        <f>D21</f>
        <v>233715</v>
      </c>
      <c r="E103" s="1">
        <f t="shared" ref="E103:T103" si="9">E21</f>
        <v>215639</v>
      </c>
      <c r="F103" s="1">
        <f t="shared" si="9"/>
        <v>229234</v>
      </c>
      <c r="G103" s="1">
        <f t="shared" si="9"/>
        <v>265595</v>
      </c>
      <c r="H103" s="1">
        <f t="shared" si="9"/>
        <v>260174</v>
      </c>
      <c r="I103" s="1">
        <f t="shared" si="9"/>
        <v>274515</v>
      </c>
      <c r="J103" s="1">
        <f t="shared" si="9"/>
        <v>365817</v>
      </c>
      <c r="K103" s="1">
        <f t="shared" si="9"/>
        <v>394328</v>
      </c>
      <c r="L103" s="1">
        <f t="shared" si="9"/>
        <v>383285</v>
      </c>
      <c r="M103" s="1">
        <f t="shared" si="9"/>
        <v>391035</v>
      </c>
      <c r="N103" s="1">
        <f t="shared" si="9"/>
        <v>416161</v>
      </c>
      <c r="O103" s="1">
        <f t="shared" si="9"/>
        <v>439922.65438008256</v>
      </c>
      <c r="P103" s="1">
        <f t="shared" si="9"/>
        <v>461934.74141981301</v>
      </c>
      <c r="Q103" s="1">
        <f t="shared" si="9"/>
        <v>483696.82845954353</v>
      </c>
      <c r="R103" s="1">
        <f t="shared" si="9"/>
        <v>505198.91549927398</v>
      </c>
      <c r="S103" s="1">
        <f t="shared" si="9"/>
        <v>526786.00253900455</v>
      </c>
      <c r="T103" s="1">
        <f t="shared" si="9"/>
        <v>548893.08957873494</v>
      </c>
    </row>
    <row r="104" spans="2:20" x14ac:dyDescent="0.2">
      <c r="D104" s="12"/>
      <c r="E104" s="12"/>
      <c r="F104" s="12"/>
      <c r="G104" s="12"/>
      <c r="H104" s="12"/>
      <c r="I104" s="12"/>
      <c r="J104" s="12"/>
      <c r="K104" s="12"/>
      <c r="L104" s="12"/>
      <c r="M104" s="12"/>
      <c r="N104" s="12"/>
      <c r="O104" s="12"/>
      <c r="P104" s="12"/>
      <c r="Q104" s="12"/>
      <c r="R104" s="12"/>
      <c r="S104" s="12"/>
      <c r="T104" s="12"/>
    </row>
    <row r="105" spans="2:20" x14ac:dyDescent="0.2">
      <c r="B105" s="3" t="s">
        <v>72</v>
      </c>
    </row>
    <row r="106" spans="2:20" x14ac:dyDescent="0.2">
      <c r="B106" s="1" t="s">
        <v>73</v>
      </c>
      <c r="D106" s="19" t="s">
        <v>80</v>
      </c>
      <c r="E106" s="19" t="s">
        <v>80</v>
      </c>
      <c r="F106" s="19" t="s">
        <v>80</v>
      </c>
      <c r="G106" s="20">
        <v>0.34399999999999997</v>
      </c>
      <c r="H106" s="20">
        <v>0.32200000000000001</v>
      </c>
      <c r="I106" s="20">
        <v>0.315</v>
      </c>
      <c r="J106" s="20">
        <v>0.315</v>
      </c>
      <c r="K106" s="20">
        <v>0.35299999999999998</v>
      </c>
      <c r="L106" s="20">
        <v>0.36299999999999999</v>
      </c>
      <c r="M106" s="20">
        <v>0.372</v>
      </c>
      <c r="N106" s="20">
        <v>0.36799999999999999</v>
      </c>
      <c r="O106" s="12">
        <v>0.372</v>
      </c>
      <c r="P106" s="12">
        <v>0.379</v>
      </c>
      <c r="Q106" s="12">
        <v>0.39</v>
      </c>
      <c r="R106" s="12">
        <v>0.39600000000000002</v>
      </c>
      <c r="S106" s="12">
        <v>0.41099999999999998</v>
      </c>
      <c r="T106" s="12">
        <v>0.42</v>
      </c>
    </row>
    <row r="107" spans="2:20" x14ac:dyDescent="0.2">
      <c r="B107" s="1" t="s">
        <v>42</v>
      </c>
      <c r="D107" s="19" t="s">
        <v>80</v>
      </c>
      <c r="E107" s="19" t="s">
        <v>80</v>
      </c>
      <c r="F107" s="19" t="s">
        <v>80</v>
      </c>
      <c r="G107" s="20">
        <v>0.60799999999999998</v>
      </c>
      <c r="H107" s="20">
        <v>0.63700000000000001</v>
      </c>
      <c r="I107" s="20">
        <v>0.66</v>
      </c>
      <c r="J107" s="20">
        <v>0.66</v>
      </c>
      <c r="K107" s="20">
        <v>0.69699999999999995</v>
      </c>
      <c r="L107" s="20">
        <v>0.71699999999999997</v>
      </c>
      <c r="M107" s="20">
        <v>0.73899999999999999</v>
      </c>
      <c r="N107" s="20">
        <v>0.754</v>
      </c>
      <c r="O107" s="12">
        <v>0.75700000000000001</v>
      </c>
      <c r="P107" s="12">
        <v>0.76</v>
      </c>
      <c r="Q107" s="12">
        <v>0.76400000000000001</v>
      </c>
      <c r="R107" s="12">
        <v>0.76900000000000002</v>
      </c>
      <c r="S107" s="12">
        <v>0.77100000000000002</v>
      </c>
      <c r="T107" s="12">
        <v>0.77500000000000002</v>
      </c>
    </row>
    <row r="108" spans="2:20" x14ac:dyDescent="0.2">
      <c r="B108" s="1" t="s">
        <v>74</v>
      </c>
      <c r="D108" s="21">
        <v>0.40100000000000002</v>
      </c>
      <c r="E108" s="21">
        <v>0.39100000000000001</v>
      </c>
      <c r="F108" s="21">
        <v>0.38500000000000001</v>
      </c>
      <c r="G108" s="21">
        <v>0.38300000000000001</v>
      </c>
      <c r="H108" s="21">
        <v>0.378</v>
      </c>
      <c r="I108" s="21">
        <v>0.38200000000000001</v>
      </c>
      <c r="J108" s="21">
        <v>0.38200000000000001</v>
      </c>
      <c r="K108" s="21">
        <v>0.41799999999999998</v>
      </c>
      <c r="L108" s="21">
        <v>0.433</v>
      </c>
      <c r="M108" s="21">
        <v>0.46200000000000002</v>
      </c>
      <c r="N108" s="21">
        <v>0.46899999999999997</v>
      </c>
      <c r="O108" s="16">
        <v>0.47299999999999998</v>
      </c>
      <c r="P108" s="16">
        <v>0.47899999999999998</v>
      </c>
      <c r="Q108" s="16">
        <v>0.48399999999999999</v>
      </c>
      <c r="R108" s="16">
        <v>0.49</v>
      </c>
      <c r="S108" s="16">
        <v>0.504</v>
      </c>
      <c r="T108" s="16">
        <v>0.50900000000000001</v>
      </c>
    </row>
    <row r="111" spans="2:20" x14ac:dyDescent="0.2">
      <c r="B111" s="3" t="s">
        <v>75</v>
      </c>
      <c r="G111" s="12"/>
    </row>
    <row r="112" spans="2:20" x14ac:dyDescent="0.2">
      <c r="B112" s="1" t="s">
        <v>78</v>
      </c>
      <c r="D112" s="20">
        <v>0.03</v>
      </c>
      <c r="E112" s="20">
        <v>0.05</v>
      </c>
      <c r="F112" s="20">
        <v>0.05</v>
      </c>
      <c r="G112" s="20">
        <v>0.05</v>
      </c>
      <c r="H112" s="20">
        <v>0.06</v>
      </c>
      <c r="I112" s="20">
        <v>7.0000000000000007E-2</v>
      </c>
      <c r="J112" s="20">
        <v>0.06</v>
      </c>
      <c r="K112" s="20">
        <v>7.0000000000000007E-2</v>
      </c>
      <c r="L112" s="20">
        <v>0.08</v>
      </c>
      <c r="M112" s="20">
        <v>0.08</v>
      </c>
      <c r="N112" s="20">
        <v>0.08</v>
      </c>
      <c r="O112" s="12">
        <v>0.08</v>
      </c>
      <c r="P112" s="12">
        <v>0.08</v>
      </c>
      <c r="Q112" s="12">
        <v>0.08</v>
      </c>
      <c r="R112" s="12">
        <v>0.08</v>
      </c>
      <c r="S112" s="12">
        <v>0.08</v>
      </c>
      <c r="T112" s="12">
        <v>0.08</v>
      </c>
    </row>
    <row r="113" spans="2:20" x14ac:dyDescent="0.2">
      <c r="B113" s="1" t="s">
        <v>77</v>
      </c>
      <c r="D113" s="20">
        <v>0.06</v>
      </c>
      <c r="E113" s="20">
        <v>7.0000000000000007E-2</v>
      </c>
      <c r="F113" s="20">
        <v>7.0000000000000007E-2</v>
      </c>
      <c r="G113" s="20">
        <v>0.06</v>
      </c>
      <c r="H113" s="20">
        <v>7.0000000000000007E-2</v>
      </c>
      <c r="I113" s="20">
        <v>7.0000000000000007E-2</v>
      </c>
      <c r="J113" s="20">
        <v>0.06</v>
      </c>
      <c r="K113" s="20">
        <v>0.06</v>
      </c>
      <c r="L113" s="20">
        <v>7.0000000000000007E-2</v>
      </c>
      <c r="M113" s="20">
        <v>7.0000000000000007E-2</v>
      </c>
      <c r="N113" s="20">
        <v>7.0000000000000007E-2</v>
      </c>
      <c r="O113" s="12">
        <v>7.0000000000000007E-2</v>
      </c>
      <c r="P113" s="12">
        <v>7.0000000000000007E-2</v>
      </c>
      <c r="Q113" s="12">
        <v>7.0000000000000007E-2</v>
      </c>
      <c r="R113" s="12">
        <v>7.0000000000000007E-2</v>
      </c>
      <c r="S113" s="12">
        <v>7.0000000000000007E-2</v>
      </c>
      <c r="T113" s="12">
        <v>7.0000000000000007E-2</v>
      </c>
    </row>
    <row r="114" spans="2:20" x14ac:dyDescent="0.2">
      <c r="B114" s="1" t="s">
        <v>79</v>
      </c>
      <c r="D114" s="21">
        <v>0.1</v>
      </c>
      <c r="E114" s="21">
        <v>0.11</v>
      </c>
      <c r="F114" s="21">
        <v>0.12</v>
      </c>
      <c r="G114" s="21">
        <v>0.12</v>
      </c>
      <c r="H114" s="21">
        <v>0.13</v>
      </c>
      <c r="I114" s="21">
        <v>0.14000000000000001</v>
      </c>
      <c r="J114" s="21">
        <v>0.12</v>
      </c>
      <c r="K114" s="21">
        <v>0.13</v>
      </c>
      <c r="L114" s="21">
        <v>0.14000000000000001</v>
      </c>
      <c r="M114" s="21">
        <v>0.15</v>
      </c>
      <c r="N114" s="21">
        <v>0.15</v>
      </c>
      <c r="O114" s="16">
        <v>0.15</v>
      </c>
      <c r="P114" s="16">
        <v>0.15</v>
      </c>
      <c r="Q114" s="16">
        <v>0.15</v>
      </c>
      <c r="R114" s="16">
        <v>0.15</v>
      </c>
      <c r="S114" s="16">
        <v>0.15</v>
      </c>
      <c r="T114" s="16">
        <v>0.15</v>
      </c>
    </row>
    <row r="147" spans="2:20" ht="29" x14ac:dyDescent="0.35">
      <c r="B147" s="59" t="s">
        <v>100</v>
      </c>
      <c r="C147" s="55"/>
      <c r="D147" s="55"/>
      <c r="E147" s="55"/>
      <c r="F147" s="55"/>
      <c r="G147" s="55"/>
      <c r="H147" s="55"/>
      <c r="I147" s="55"/>
      <c r="J147" s="55"/>
      <c r="K147" s="55"/>
      <c r="L147" s="55"/>
      <c r="M147" s="55"/>
      <c r="N147" s="55"/>
      <c r="O147" s="55"/>
      <c r="P147" s="55"/>
      <c r="Q147" s="55"/>
      <c r="R147" s="55"/>
      <c r="S147" s="55"/>
      <c r="T147" s="55"/>
    </row>
    <row r="149" spans="2:20" ht="23" thickBot="1" x14ac:dyDescent="0.35">
      <c r="B149" s="13" t="s">
        <v>188</v>
      </c>
      <c r="H149" s="256">
        <v>2023</v>
      </c>
      <c r="I149" s="256">
        <v>2024</v>
      </c>
      <c r="J149" s="256">
        <v>2025</v>
      </c>
      <c r="K149" s="257" t="s">
        <v>1</v>
      </c>
      <c r="L149" s="257" t="s">
        <v>2</v>
      </c>
      <c r="M149" s="257" t="s">
        <v>3</v>
      </c>
      <c r="N149" s="257" t="s">
        <v>4</v>
      </c>
      <c r="O149" s="257" t="s">
        <v>5</v>
      </c>
      <c r="P149" s="257" t="s">
        <v>6</v>
      </c>
      <c r="Q149" s="258" t="s">
        <v>111</v>
      </c>
    </row>
    <row r="153" spans="2:20" ht="22" x14ac:dyDescent="0.3">
      <c r="B153" s="28" t="s">
        <v>96</v>
      </c>
      <c r="C153" s="28"/>
      <c r="D153" s="28"/>
      <c r="E153" s="28"/>
      <c r="H153" s="259">
        <v>365</v>
      </c>
      <c r="I153" s="260">
        <v>365</v>
      </c>
      <c r="J153" s="260">
        <v>365</v>
      </c>
      <c r="K153" s="260">
        <v>365</v>
      </c>
      <c r="L153" s="260">
        <v>365</v>
      </c>
      <c r="M153" s="260">
        <v>365</v>
      </c>
      <c r="N153" s="260">
        <v>365</v>
      </c>
      <c r="O153" s="260">
        <v>365</v>
      </c>
      <c r="P153" s="261">
        <v>365</v>
      </c>
      <c r="Q153" s="262">
        <v>365</v>
      </c>
    </row>
    <row r="154" spans="2:20" ht="22" x14ac:dyDescent="0.3">
      <c r="B154" s="28" t="s">
        <v>71</v>
      </c>
      <c r="C154" s="28"/>
      <c r="D154" s="28"/>
      <c r="E154" s="28"/>
      <c r="H154" s="263">
        <f>Model!F15</f>
        <v>383285</v>
      </c>
      <c r="I154" s="28">
        <f>Model!G15</f>
        <v>391035</v>
      </c>
      <c r="J154" s="28">
        <f>Model!H15</f>
        <v>416161</v>
      </c>
      <c r="K154" s="28">
        <f>Model!I15</f>
        <v>446956.91400000005</v>
      </c>
      <c r="L154" s="28">
        <f>Model!J15</f>
        <v>481819.55329200008</v>
      </c>
      <c r="M154" s="28">
        <f>Model!K15</f>
        <v>521328.75666194415</v>
      </c>
      <c r="N154" s="28">
        <f>Model!L15</f>
        <v>565641.70097820938</v>
      </c>
      <c r="O154" s="28">
        <f>Model!M15</f>
        <v>616549.45406624826</v>
      </c>
      <c r="P154" s="264">
        <f>Model!N15</f>
        <v>672963.72911330988</v>
      </c>
      <c r="Q154" s="265">
        <f>Model!O15</f>
        <v>689787.82234114257</v>
      </c>
    </row>
    <row r="155" spans="2:20" ht="22" x14ac:dyDescent="0.3">
      <c r="B155" s="28" t="s">
        <v>87</v>
      </c>
      <c r="C155" s="28"/>
      <c r="D155" s="28"/>
      <c r="E155" s="28"/>
      <c r="H155" s="266">
        <f>Model!F16*-1</f>
        <v>214137</v>
      </c>
      <c r="I155" s="267">
        <f>Model!G16*-1</f>
        <v>210352</v>
      </c>
      <c r="J155" s="267">
        <f>Model!H16*-1</f>
        <v>220960</v>
      </c>
      <c r="K155" s="267">
        <f>Model!I16*-1</f>
        <v>235546.29367800005</v>
      </c>
      <c r="L155" s="267">
        <f>Model!J16*-1</f>
        <v>251027.98726513205</v>
      </c>
      <c r="M155" s="267">
        <f>Model!K16*-1</f>
        <v>269005.6384375632</v>
      </c>
      <c r="N155" s="267">
        <f>Model!L16*-1</f>
        <v>288477.26749888679</v>
      </c>
      <c r="O155" s="267">
        <f>Model!M16*-1</f>
        <v>305808.52921685914</v>
      </c>
      <c r="P155" s="268">
        <f>Model!N16*-1</f>
        <v>330425.19099463517</v>
      </c>
      <c r="Q155" s="269">
        <f>Model!O16*-1</f>
        <v>337996.03294715984</v>
      </c>
    </row>
    <row r="156" spans="2:20" ht="22" x14ac:dyDescent="0.3">
      <c r="B156" s="28"/>
      <c r="C156" s="28"/>
      <c r="D156" s="28"/>
      <c r="E156" s="28"/>
      <c r="H156" s="28"/>
      <c r="I156" s="28"/>
      <c r="J156" s="28"/>
      <c r="K156" s="28"/>
      <c r="L156" s="28"/>
      <c r="M156" s="28"/>
      <c r="N156" s="28"/>
      <c r="O156" s="28"/>
      <c r="P156" s="28"/>
      <c r="Q156" s="28"/>
    </row>
    <row r="157" spans="2:20" ht="22" x14ac:dyDescent="0.3">
      <c r="B157" s="28"/>
      <c r="C157" s="28"/>
      <c r="D157" s="28"/>
      <c r="E157" s="28"/>
      <c r="H157" s="28"/>
      <c r="I157" s="28"/>
      <c r="J157" s="28"/>
      <c r="K157" s="28"/>
      <c r="L157" s="28"/>
      <c r="M157" s="28"/>
      <c r="N157" s="28"/>
      <c r="O157" s="28"/>
      <c r="P157" s="28"/>
      <c r="Q157" s="28"/>
    </row>
    <row r="158" spans="2:20" ht="22" x14ac:dyDescent="0.3">
      <c r="B158" s="28" t="s">
        <v>94</v>
      </c>
      <c r="C158" s="28"/>
      <c r="D158" s="28"/>
      <c r="E158" s="28"/>
      <c r="H158" s="270">
        <f>H163/H155*H153</f>
        <v>106.72146803214764</v>
      </c>
      <c r="I158" s="271">
        <f>I163/I155*I153</f>
        <v>119.65847721913744</v>
      </c>
      <c r="J158" s="271">
        <f>J163/J155*J153</f>
        <v>115.40052498189718</v>
      </c>
      <c r="K158" s="260">
        <v>115</v>
      </c>
      <c r="L158" s="260">
        <v>115</v>
      </c>
      <c r="M158" s="260">
        <v>115</v>
      </c>
      <c r="N158" s="260">
        <v>115</v>
      </c>
      <c r="O158" s="260">
        <v>115</v>
      </c>
      <c r="P158" s="261">
        <v>115</v>
      </c>
      <c r="Q158" s="262">
        <v>115</v>
      </c>
    </row>
    <row r="159" spans="2:20" ht="22" x14ac:dyDescent="0.3">
      <c r="B159" s="28" t="s">
        <v>95</v>
      </c>
      <c r="C159" s="28"/>
      <c r="D159" s="28"/>
      <c r="E159" s="28"/>
      <c r="H159" s="263">
        <f>H164/H154*H153</f>
        <v>28.100290906244702</v>
      </c>
      <c r="I159" s="28">
        <f>I164/I154*I153</f>
        <v>31.185571624023428</v>
      </c>
      <c r="J159" s="28">
        <f>J164/J154*J153</f>
        <v>34.886990852098108</v>
      </c>
      <c r="K159" s="272">
        <v>32</v>
      </c>
      <c r="L159" s="272">
        <v>32</v>
      </c>
      <c r="M159" s="272">
        <v>32</v>
      </c>
      <c r="N159" s="272">
        <v>32</v>
      </c>
      <c r="O159" s="272">
        <v>32</v>
      </c>
      <c r="P159" s="273">
        <v>32</v>
      </c>
      <c r="Q159" s="274">
        <v>32</v>
      </c>
    </row>
    <row r="160" spans="2:20" ht="22" x14ac:dyDescent="0.3">
      <c r="B160" s="28" t="s">
        <v>186</v>
      </c>
      <c r="C160" s="28"/>
      <c r="D160" s="28"/>
      <c r="E160" s="28"/>
      <c r="H160" s="266">
        <f>H165/H155*H153</f>
        <v>10.791292490321617</v>
      </c>
      <c r="I160" s="267">
        <f>I165/I155*I153</f>
        <v>12.642570548414087</v>
      </c>
      <c r="J160" s="267">
        <f>J165/J155*J153</f>
        <v>9.4454652425778427</v>
      </c>
      <c r="K160" s="275">
        <v>9</v>
      </c>
      <c r="L160" s="275">
        <v>9</v>
      </c>
      <c r="M160" s="275">
        <v>9</v>
      </c>
      <c r="N160" s="275">
        <v>9</v>
      </c>
      <c r="O160" s="275">
        <v>9</v>
      </c>
      <c r="P160" s="276">
        <v>9</v>
      </c>
      <c r="Q160" s="277">
        <v>9</v>
      </c>
    </row>
    <row r="161" spans="2:17" ht="22" x14ac:dyDescent="0.3">
      <c r="B161" s="28"/>
      <c r="C161" s="28"/>
      <c r="D161" s="28"/>
      <c r="E161" s="28"/>
      <c r="H161" s="28"/>
      <c r="I161" s="28"/>
      <c r="J161" s="28"/>
      <c r="K161" s="28"/>
      <c r="L161" s="28"/>
      <c r="M161" s="28"/>
      <c r="N161" s="28"/>
      <c r="O161" s="28"/>
      <c r="P161" s="28"/>
      <c r="Q161" s="28"/>
    </row>
    <row r="162" spans="2:17" ht="22" x14ac:dyDescent="0.3">
      <c r="B162" s="28"/>
      <c r="C162" s="28"/>
      <c r="D162" s="28"/>
      <c r="E162" s="28"/>
      <c r="H162" s="28"/>
      <c r="I162" s="28"/>
      <c r="J162" s="28"/>
      <c r="K162" s="28"/>
      <c r="L162" s="28"/>
      <c r="M162" s="28"/>
      <c r="N162" s="28"/>
      <c r="O162" s="28"/>
      <c r="P162" s="28"/>
      <c r="Q162" s="28"/>
    </row>
    <row r="163" spans="2:17" ht="22" x14ac:dyDescent="0.3">
      <c r="B163" s="28" t="s">
        <v>30</v>
      </c>
      <c r="C163" s="28"/>
      <c r="D163" s="28"/>
      <c r="E163" s="28"/>
      <c r="H163" s="270">
        <f>Model!F64</f>
        <v>62611</v>
      </c>
      <c r="I163" s="271">
        <f>Model!G64</f>
        <v>68960</v>
      </c>
      <c r="J163" s="271">
        <f>Model!H64</f>
        <v>69860</v>
      </c>
      <c r="K163" s="271">
        <f t="shared" ref="K163:Q163" si="10">K158/K153*K155</f>
        <v>74213.215816356169</v>
      </c>
      <c r="L163" s="271">
        <f t="shared" si="10"/>
        <v>79091.009686274483</v>
      </c>
      <c r="M163" s="271">
        <f t="shared" si="10"/>
        <v>84755.201151561007</v>
      </c>
      <c r="N163" s="271">
        <f t="shared" si="10"/>
        <v>90890.097979101309</v>
      </c>
      <c r="O163" s="271">
        <f t="shared" si="10"/>
        <v>96350.632492983015</v>
      </c>
      <c r="P163" s="278">
        <f t="shared" si="10"/>
        <v>104106.56702570696</v>
      </c>
      <c r="Q163" s="279">
        <f t="shared" si="10"/>
        <v>106491.90079157091</v>
      </c>
    </row>
    <row r="164" spans="2:17" ht="22" x14ac:dyDescent="0.3">
      <c r="B164" s="28" t="s">
        <v>55</v>
      </c>
      <c r="C164" s="28"/>
      <c r="D164" s="28"/>
      <c r="E164" s="28"/>
      <c r="H164" s="263">
        <f>Model!F47</f>
        <v>29508</v>
      </c>
      <c r="I164" s="28">
        <f>Model!G47</f>
        <v>33410</v>
      </c>
      <c r="J164" s="28">
        <f>Model!H47</f>
        <v>39777</v>
      </c>
      <c r="K164" s="28">
        <f t="shared" ref="K164:Q164" si="11">K159/K153*K154</f>
        <v>39185.263693150686</v>
      </c>
      <c r="L164" s="28">
        <f t="shared" si="11"/>
        <v>42241.714261216446</v>
      </c>
      <c r="M164" s="28">
        <f t="shared" si="11"/>
        <v>45705.534830636199</v>
      </c>
      <c r="N164" s="28">
        <f t="shared" si="11"/>
        <v>49590.505291240275</v>
      </c>
      <c r="O164" s="28">
        <f t="shared" si="11"/>
        <v>54053.650767451902</v>
      </c>
      <c r="P164" s="264">
        <f t="shared" si="11"/>
        <v>58999.559812673746</v>
      </c>
      <c r="Q164" s="265">
        <f t="shared" si="11"/>
        <v>60474.548807990584</v>
      </c>
    </row>
    <row r="165" spans="2:17" ht="22" x14ac:dyDescent="0.3">
      <c r="B165" s="28" t="s">
        <v>19</v>
      </c>
      <c r="C165" s="28"/>
      <c r="D165" s="28"/>
      <c r="E165" s="28"/>
      <c r="H165" s="266">
        <f>Model!F48</f>
        <v>6331</v>
      </c>
      <c r="I165" s="267">
        <f>Model!G48</f>
        <v>7286</v>
      </c>
      <c r="J165" s="267">
        <f>Model!H48</f>
        <v>5718</v>
      </c>
      <c r="K165" s="267">
        <f t="shared" ref="K165:Q165" si="12">K160/K153*K155</f>
        <v>5807.9908030191791</v>
      </c>
      <c r="L165" s="267">
        <f t="shared" si="12"/>
        <v>6189.7311928388726</v>
      </c>
      <c r="M165" s="267">
        <f t="shared" si="12"/>
        <v>6633.0157422960792</v>
      </c>
      <c r="N165" s="267">
        <f t="shared" si="12"/>
        <v>7113.138102712277</v>
      </c>
      <c r="O165" s="267">
        <f t="shared" si="12"/>
        <v>7540.4842820595404</v>
      </c>
      <c r="P165" s="268">
        <f t="shared" si="12"/>
        <v>8147.4704628814152</v>
      </c>
      <c r="Q165" s="269">
        <f t="shared" si="12"/>
        <v>8334.1487576012005</v>
      </c>
    </row>
    <row r="166" spans="2:17" ht="22" x14ac:dyDescent="0.3">
      <c r="B166" s="28"/>
      <c r="C166" s="28"/>
      <c r="D166" s="28"/>
      <c r="E166" s="28"/>
      <c r="H166" s="28"/>
      <c r="I166" s="28"/>
      <c r="J166" s="28"/>
      <c r="K166" s="28"/>
      <c r="L166" s="28"/>
      <c r="M166" s="28"/>
      <c r="N166" s="28"/>
      <c r="O166" s="28"/>
      <c r="P166" s="28"/>
      <c r="Q166" s="28"/>
    </row>
    <row r="167" spans="2:17" ht="22" x14ac:dyDescent="0.3">
      <c r="B167" s="28"/>
      <c r="C167" s="28"/>
      <c r="D167" s="28"/>
      <c r="E167" s="28"/>
      <c r="H167" s="28"/>
      <c r="I167" s="28"/>
      <c r="J167" s="28"/>
      <c r="K167" s="28"/>
      <c r="L167" s="28"/>
      <c r="M167" s="28"/>
      <c r="N167" s="28"/>
      <c r="O167" s="28"/>
      <c r="P167" s="28"/>
      <c r="Q167" s="28"/>
    </row>
    <row r="168" spans="2:17" ht="22" x14ac:dyDescent="0.3">
      <c r="B168" s="28"/>
      <c r="C168" s="28"/>
      <c r="D168" s="28"/>
      <c r="E168" s="28"/>
      <c r="H168" s="28"/>
      <c r="I168" s="28"/>
      <c r="J168" s="28"/>
      <c r="K168" s="28"/>
      <c r="L168" s="28"/>
      <c r="M168" s="28"/>
      <c r="N168" s="28"/>
      <c r="O168" s="28"/>
      <c r="P168" s="28"/>
      <c r="Q168" s="28"/>
    </row>
    <row r="169" spans="2:17" ht="22" x14ac:dyDescent="0.3">
      <c r="B169" s="7" t="s">
        <v>97</v>
      </c>
      <c r="C169" s="28"/>
      <c r="D169" s="28"/>
      <c r="E169" s="28"/>
      <c r="H169" s="28"/>
      <c r="I169" s="28"/>
      <c r="J169" s="28"/>
      <c r="K169" s="28"/>
      <c r="L169" s="28"/>
      <c r="M169" s="28"/>
      <c r="N169" s="28"/>
      <c r="O169" s="28"/>
      <c r="P169" s="28"/>
      <c r="Q169" s="28"/>
    </row>
    <row r="170" spans="2:17" ht="22" x14ac:dyDescent="0.3">
      <c r="B170" s="28" t="s">
        <v>30</v>
      </c>
      <c r="C170" s="28"/>
      <c r="D170" s="28"/>
      <c r="E170" s="28"/>
      <c r="H170" s="28"/>
      <c r="I170" s="28">
        <f t="shared" ref="I170:Q170" si="13">I163-H163</f>
        <v>6349</v>
      </c>
      <c r="J170" s="28">
        <f t="shared" si="13"/>
        <v>900</v>
      </c>
      <c r="K170" s="28">
        <f t="shared" si="13"/>
        <v>4353.2158163561689</v>
      </c>
      <c r="L170" s="28">
        <f t="shared" si="13"/>
        <v>4877.7938699183142</v>
      </c>
      <c r="M170" s="28">
        <f t="shared" si="13"/>
        <v>5664.1914652865235</v>
      </c>
      <c r="N170" s="28">
        <f t="shared" si="13"/>
        <v>6134.8968275403022</v>
      </c>
      <c r="O170" s="28">
        <f t="shared" si="13"/>
        <v>5460.5345138817065</v>
      </c>
      <c r="P170" s="28">
        <f t="shared" si="13"/>
        <v>7755.9345327239425</v>
      </c>
      <c r="Q170" s="279">
        <f t="shared" si="13"/>
        <v>2385.3337658639502</v>
      </c>
    </row>
    <row r="171" spans="2:17" ht="22" x14ac:dyDescent="0.3">
      <c r="B171" s="28" t="s">
        <v>55</v>
      </c>
      <c r="C171" s="28"/>
      <c r="D171" s="28"/>
      <c r="E171" s="28"/>
      <c r="H171" s="28"/>
      <c r="I171" s="28">
        <f t="shared" ref="I171:Q171" si="14">H164-I164</f>
        <v>-3902</v>
      </c>
      <c r="J171" s="28">
        <f t="shared" si="14"/>
        <v>-6367</v>
      </c>
      <c r="K171" s="28">
        <f t="shared" si="14"/>
        <v>591.73630684931413</v>
      </c>
      <c r="L171" s="28">
        <f t="shared" si="14"/>
        <v>-3056.4505680657603</v>
      </c>
      <c r="M171" s="28">
        <f t="shared" si="14"/>
        <v>-3463.8205694197532</v>
      </c>
      <c r="N171" s="28">
        <f t="shared" si="14"/>
        <v>-3884.9704606040759</v>
      </c>
      <c r="O171" s="28">
        <f t="shared" si="14"/>
        <v>-4463.1454762116264</v>
      </c>
      <c r="P171" s="28">
        <f t="shared" si="14"/>
        <v>-4945.9090452218443</v>
      </c>
      <c r="Q171" s="265">
        <f t="shared" si="14"/>
        <v>-1474.9889953168386</v>
      </c>
    </row>
    <row r="172" spans="2:17" ht="22" x14ac:dyDescent="0.3">
      <c r="B172" s="28" t="s">
        <v>19</v>
      </c>
      <c r="C172" s="28"/>
      <c r="D172" s="28"/>
      <c r="E172" s="28"/>
      <c r="H172" s="28"/>
      <c r="I172" s="28">
        <f t="shared" ref="I172:Q172" si="15">H165-I165</f>
        <v>-955</v>
      </c>
      <c r="J172" s="28">
        <f t="shared" si="15"/>
        <v>1568</v>
      </c>
      <c r="K172" s="28">
        <f t="shared" si="15"/>
        <v>-89.990803019179111</v>
      </c>
      <c r="L172" s="28">
        <f t="shared" si="15"/>
        <v>-381.74038981969352</v>
      </c>
      <c r="M172" s="28">
        <f t="shared" si="15"/>
        <v>-443.28454945720659</v>
      </c>
      <c r="N172" s="28">
        <f t="shared" si="15"/>
        <v>-480.12236041619781</v>
      </c>
      <c r="O172" s="28">
        <f t="shared" si="15"/>
        <v>-427.34617934726339</v>
      </c>
      <c r="P172" s="28">
        <f t="shared" si="15"/>
        <v>-606.98618082187477</v>
      </c>
      <c r="Q172" s="265">
        <f t="shared" si="15"/>
        <v>-186.6782947197853</v>
      </c>
    </row>
    <row r="173" spans="2:17" ht="23" thickBot="1" x14ac:dyDescent="0.35">
      <c r="B173" s="7" t="s">
        <v>98</v>
      </c>
      <c r="C173" s="28"/>
      <c r="D173" s="28"/>
      <c r="E173" s="28"/>
      <c r="H173" s="28"/>
      <c r="I173" s="280">
        <f t="shared" ref="I173:Q173" si="16">SUM(I170:I172)</f>
        <v>1492</v>
      </c>
      <c r="J173" s="280">
        <f t="shared" si="16"/>
        <v>-3899</v>
      </c>
      <c r="K173" s="280">
        <f t="shared" si="16"/>
        <v>4854.961320186304</v>
      </c>
      <c r="L173" s="280">
        <f t="shared" si="16"/>
        <v>1439.6029120328603</v>
      </c>
      <c r="M173" s="280">
        <f t="shared" si="16"/>
        <v>1757.0863464095637</v>
      </c>
      <c r="N173" s="280">
        <f t="shared" si="16"/>
        <v>1769.8040065200285</v>
      </c>
      <c r="O173" s="280">
        <f t="shared" si="16"/>
        <v>570.04285832281676</v>
      </c>
      <c r="P173" s="280">
        <f t="shared" si="16"/>
        <v>2203.0393066802235</v>
      </c>
      <c r="Q173" s="281">
        <f t="shared" si="16"/>
        <v>723.66647582732639</v>
      </c>
    </row>
    <row r="174" spans="2:17" ht="22" x14ac:dyDescent="0.3">
      <c r="B174" s="28"/>
      <c r="C174" s="28"/>
      <c r="D174" s="28"/>
      <c r="E174" s="28"/>
      <c r="H174" s="28"/>
      <c r="I174" s="28"/>
      <c r="J174" s="28"/>
      <c r="K174" s="28"/>
      <c r="L174" s="28"/>
      <c r="M174" s="28"/>
      <c r="N174" s="28"/>
      <c r="O174" s="28"/>
      <c r="P174" s="28"/>
      <c r="Q174" s="28"/>
    </row>
    <row r="177" spans="2:20" ht="29" x14ac:dyDescent="0.35">
      <c r="B177" s="59" t="s">
        <v>99</v>
      </c>
      <c r="C177" s="55"/>
      <c r="D177" s="55"/>
      <c r="E177" s="55"/>
      <c r="F177" s="55"/>
      <c r="G177" s="55"/>
      <c r="H177" s="55"/>
      <c r="I177" s="55"/>
      <c r="J177" s="55"/>
      <c r="K177" s="55"/>
      <c r="L177" s="55"/>
      <c r="M177" s="55"/>
      <c r="N177" s="55"/>
      <c r="O177" s="55"/>
      <c r="P177" s="55"/>
      <c r="Q177" s="55"/>
      <c r="R177" s="55"/>
      <c r="S177" s="55"/>
      <c r="T177" s="55"/>
    </row>
    <row r="179" spans="2:20" ht="23" thickBot="1" x14ac:dyDescent="0.35">
      <c r="B179" s="13" t="s">
        <v>188</v>
      </c>
      <c r="H179" s="256">
        <v>2023</v>
      </c>
      <c r="I179" s="256">
        <v>2024</v>
      </c>
      <c r="J179" s="256">
        <v>2025</v>
      </c>
      <c r="K179" s="257" t="s">
        <v>1</v>
      </c>
      <c r="L179" s="257" t="s">
        <v>2</v>
      </c>
      <c r="M179" s="257" t="s">
        <v>3</v>
      </c>
      <c r="N179" s="257" t="s">
        <v>4</v>
      </c>
      <c r="O179" s="257" t="s">
        <v>5</v>
      </c>
      <c r="P179" s="257" t="s">
        <v>6</v>
      </c>
      <c r="Q179" s="258" t="s">
        <v>111</v>
      </c>
    </row>
    <row r="181" spans="2:20" ht="22" x14ac:dyDescent="0.3">
      <c r="B181" s="14"/>
      <c r="C181" s="14"/>
      <c r="D181" s="14"/>
      <c r="E181" s="14"/>
      <c r="F181" s="14"/>
      <c r="G181" s="14"/>
      <c r="H181" s="14"/>
      <c r="I181" s="14"/>
      <c r="J181" s="14"/>
      <c r="K181" s="14"/>
      <c r="L181" s="14"/>
      <c r="M181" s="14"/>
      <c r="N181" s="14"/>
      <c r="O181" s="14"/>
      <c r="P181" s="14"/>
      <c r="Q181" s="14"/>
    </row>
    <row r="182" spans="2:20" ht="22" x14ac:dyDescent="0.3">
      <c r="B182" s="14" t="s">
        <v>71</v>
      </c>
      <c r="C182" s="14"/>
      <c r="D182" s="14"/>
      <c r="E182" s="14"/>
      <c r="F182" s="14"/>
      <c r="G182" s="14"/>
      <c r="H182" s="282">
        <f t="shared" ref="H182:Q182" si="17">H154</f>
        <v>383285</v>
      </c>
      <c r="I182" s="283">
        <f t="shared" si="17"/>
        <v>391035</v>
      </c>
      <c r="J182" s="283">
        <f t="shared" si="17"/>
        <v>416161</v>
      </c>
      <c r="K182" s="283">
        <f t="shared" si="17"/>
        <v>446956.91400000005</v>
      </c>
      <c r="L182" s="283">
        <f t="shared" si="17"/>
        <v>481819.55329200008</v>
      </c>
      <c r="M182" s="283">
        <f t="shared" si="17"/>
        <v>521328.75666194415</v>
      </c>
      <c r="N182" s="283">
        <f t="shared" si="17"/>
        <v>565641.70097820938</v>
      </c>
      <c r="O182" s="283">
        <f t="shared" si="17"/>
        <v>616549.45406624826</v>
      </c>
      <c r="P182" s="284">
        <f t="shared" si="17"/>
        <v>672963.72911330988</v>
      </c>
      <c r="Q182" s="285">
        <f t="shared" si="17"/>
        <v>689787.82234114257</v>
      </c>
    </row>
    <row r="183" spans="2:20" ht="22" x14ac:dyDescent="0.3">
      <c r="B183" s="14"/>
      <c r="C183" s="14"/>
      <c r="D183" s="14"/>
      <c r="E183" s="14"/>
      <c r="F183" s="14"/>
      <c r="G183" s="14"/>
      <c r="H183" s="14"/>
      <c r="I183" s="14"/>
      <c r="J183" s="14"/>
      <c r="K183" s="14"/>
      <c r="L183" s="14"/>
      <c r="M183" s="14"/>
      <c r="N183" s="14"/>
      <c r="O183" s="14"/>
      <c r="P183" s="14"/>
      <c r="Q183" s="14"/>
    </row>
    <row r="184" spans="2:20" ht="22" x14ac:dyDescent="0.3">
      <c r="B184" s="14"/>
      <c r="C184" s="14"/>
      <c r="D184" s="14"/>
      <c r="E184" s="14"/>
      <c r="F184" s="14"/>
      <c r="G184" s="14"/>
      <c r="H184" s="14"/>
      <c r="I184" s="14"/>
      <c r="J184" s="14"/>
      <c r="K184" s="14"/>
      <c r="L184" s="14"/>
      <c r="M184" s="14"/>
      <c r="N184" s="14"/>
      <c r="O184" s="14"/>
      <c r="P184" s="14"/>
      <c r="Q184" s="14"/>
    </row>
    <row r="185" spans="2:20" ht="22" x14ac:dyDescent="0.3">
      <c r="B185" s="14" t="s">
        <v>103</v>
      </c>
      <c r="C185" s="14"/>
      <c r="D185" s="14"/>
      <c r="E185" s="14"/>
      <c r="F185" s="14"/>
      <c r="G185" s="14"/>
      <c r="H185" s="14">
        <f>Model!F53</f>
        <v>43715</v>
      </c>
      <c r="I185" s="14">
        <f>Model!G53</f>
        <v>45680</v>
      </c>
      <c r="J185" s="14">
        <f>Model!H53</f>
        <v>49834</v>
      </c>
      <c r="K185" s="14">
        <f t="shared" ref="K185:Q185" si="18">J185-K188-K191</f>
        <v>50727.913827999997</v>
      </c>
      <c r="L185" s="14">
        <f t="shared" si="18"/>
        <v>51691.552934583997</v>
      </c>
      <c r="M185" s="14">
        <f t="shared" si="18"/>
        <v>52734.210447907884</v>
      </c>
      <c r="N185" s="14">
        <f t="shared" si="18"/>
        <v>53865.493849864302</v>
      </c>
      <c r="O185" s="14">
        <f t="shared" si="18"/>
        <v>55098.592757996797</v>
      </c>
      <c r="P185" s="14">
        <f t="shared" si="18"/>
        <v>56444.52021622342</v>
      </c>
      <c r="Q185" s="286">
        <f t="shared" si="18"/>
        <v>56444.52021622342</v>
      </c>
    </row>
    <row r="186" spans="2:20" ht="22" x14ac:dyDescent="0.3">
      <c r="B186" s="14" t="s">
        <v>104</v>
      </c>
      <c r="C186" s="14"/>
      <c r="D186" s="14"/>
      <c r="E186" s="14"/>
      <c r="F186" s="14"/>
      <c r="G186" s="14"/>
      <c r="H186" s="287">
        <f t="shared" ref="H186:Q186" si="19">H185/H182</f>
        <v>0.11405351109487719</v>
      </c>
      <c r="I186" s="287">
        <f t="shared" si="19"/>
        <v>0.11681818763026328</v>
      </c>
      <c r="J186" s="287">
        <f t="shared" si="19"/>
        <v>0.11974692486801983</v>
      </c>
      <c r="K186" s="287">
        <f t="shared" si="19"/>
        <v>0.11349620564992534</v>
      </c>
      <c r="L186" s="287">
        <f t="shared" si="19"/>
        <v>0.10728404976801978</v>
      </c>
      <c r="M186" s="287">
        <f t="shared" si="19"/>
        <v>0.10115346558966706</v>
      </c>
      <c r="N186" s="287">
        <f t="shared" si="19"/>
        <v>9.5229000543471956E-2</v>
      </c>
      <c r="O186" s="287">
        <f t="shared" si="19"/>
        <v>8.9366055544469677E-2</v>
      </c>
      <c r="P186" s="287">
        <f t="shared" si="19"/>
        <v>8.3874535542345113E-2</v>
      </c>
      <c r="Q186" s="288">
        <f t="shared" si="19"/>
        <v>8.1828815163263541E-2</v>
      </c>
    </row>
    <row r="187" spans="2:20" ht="22" x14ac:dyDescent="0.3">
      <c r="B187" s="14"/>
      <c r="C187" s="14"/>
      <c r="D187" s="14"/>
      <c r="E187" s="14"/>
      <c r="F187" s="14"/>
      <c r="G187" s="14"/>
      <c r="H187" s="14"/>
      <c r="I187" s="14"/>
      <c r="J187" s="14"/>
      <c r="K187" s="14"/>
      <c r="L187" s="14"/>
      <c r="M187" s="14"/>
      <c r="N187" s="14"/>
      <c r="O187" s="14"/>
      <c r="P187" s="14"/>
      <c r="Q187" s="14"/>
    </row>
    <row r="188" spans="2:20" ht="22" x14ac:dyDescent="0.3">
      <c r="B188" s="14" t="s">
        <v>102</v>
      </c>
      <c r="C188" s="14"/>
      <c r="D188" s="14"/>
      <c r="E188" s="14"/>
      <c r="F188" s="14"/>
      <c r="G188" s="14"/>
      <c r="H188" s="14">
        <f>Model!F116</f>
        <v>-10959</v>
      </c>
      <c r="I188" s="14">
        <f>Model!G116</f>
        <v>-9447</v>
      </c>
      <c r="J188" s="14">
        <f>Model!H116</f>
        <v>-12715</v>
      </c>
      <c r="K188" s="14">
        <f t="shared" ref="K188:Q188" si="20">K182*K189*-1</f>
        <v>-13408.707420000001</v>
      </c>
      <c r="L188" s="14">
        <f t="shared" si="20"/>
        <v>-14454.586598760003</v>
      </c>
      <c r="M188" s="14">
        <f t="shared" si="20"/>
        <v>-15639.862699858324</v>
      </c>
      <c r="N188" s="14">
        <f t="shared" si="20"/>
        <v>-16969.25102934628</v>
      </c>
      <c r="O188" s="14">
        <f t="shared" si="20"/>
        <v>-18496.483621987449</v>
      </c>
      <c r="P188" s="14">
        <f t="shared" si="20"/>
        <v>-20188.911873399295</v>
      </c>
      <c r="Q188" s="286">
        <f t="shared" si="20"/>
        <v>-19314.059025551993</v>
      </c>
    </row>
    <row r="189" spans="2:20" ht="22" x14ac:dyDescent="0.3">
      <c r="B189" s="14" t="s">
        <v>101</v>
      </c>
      <c r="C189" s="14"/>
      <c r="D189" s="14"/>
      <c r="E189" s="14"/>
      <c r="F189" s="14"/>
      <c r="G189" s="14"/>
      <c r="H189" s="287">
        <f>H188/H182*-1</f>
        <v>2.859230076835775E-2</v>
      </c>
      <c r="I189" s="287">
        <f>I188/I182*-1</f>
        <v>2.415896275269477E-2</v>
      </c>
      <c r="J189" s="287">
        <f>J188/J182*-1</f>
        <v>3.0553079216937677E-2</v>
      </c>
      <c r="K189" s="97">
        <v>0.03</v>
      </c>
      <c r="L189" s="97">
        <v>0.03</v>
      </c>
      <c r="M189" s="97">
        <v>0.03</v>
      </c>
      <c r="N189" s="97">
        <v>0.03</v>
      </c>
      <c r="O189" s="97">
        <v>0.03</v>
      </c>
      <c r="P189" s="97">
        <v>0.03</v>
      </c>
      <c r="Q189" s="289">
        <v>2.8000000000000001E-2</v>
      </c>
    </row>
    <row r="190" spans="2:20" ht="22" x14ac:dyDescent="0.3">
      <c r="B190" s="14"/>
      <c r="C190" s="14"/>
      <c r="D190" s="14"/>
      <c r="E190" s="14"/>
      <c r="F190" s="14"/>
      <c r="G190" s="14"/>
      <c r="H190" s="14"/>
      <c r="I190" s="14"/>
      <c r="J190" s="14"/>
      <c r="K190" s="14"/>
      <c r="L190" s="14"/>
      <c r="M190" s="14"/>
      <c r="N190" s="14"/>
      <c r="O190" s="14"/>
      <c r="P190" s="14"/>
      <c r="Q190" s="14"/>
    </row>
    <row r="191" spans="2:20" ht="22" x14ac:dyDescent="0.3">
      <c r="B191" s="14" t="s">
        <v>105</v>
      </c>
      <c r="C191" s="14"/>
      <c r="D191" s="14"/>
      <c r="E191" s="14"/>
      <c r="F191" s="14"/>
      <c r="G191" s="14"/>
      <c r="H191" s="14">
        <f>Model!F102</f>
        <v>11519</v>
      </c>
      <c r="I191" s="14">
        <f>Model!G102</f>
        <v>11445</v>
      </c>
      <c r="J191" s="14">
        <f>Model!H102</f>
        <v>11698</v>
      </c>
      <c r="K191" s="14">
        <f t="shared" ref="K191:Q191" si="21">K182*K192</f>
        <v>12514.793592000002</v>
      </c>
      <c r="L191" s="14">
        <f t="shared" si="21"/>
        <v>13490.947492176003</v>
      </c>
      <c r="M191" s="14">
        <f t="shared" si="21"/>
        <v>14597.205186534437</v>
      </c>
      <c r="N191" s="14">
        <f t="shared" si="21"/>
        <v>15837.967627389862</v>
      </c>
      <c r="O191" s="14">
        <f t="shared" si="21"/>
        <v>17263.38471385495</v>
      </c>
      <c r="P191" s="14">
        <f t="shared" si="21"/>
        <v>18842.984415172676</v>
      </c>
      <c r="Q191" s="290">
        <f t="shared" si="21"/>
        <v>19314.059025551993</v>
      </c>
    </row>
    <row r="192" spans="2:20" ht="22" x14ac:dyDescent="0.3">
      <c r="B192" s="14" t="s">
        <v>106</v>
      </c>
      <c r="C192" s="14"/>
      <c r="D192" s="14"/>
      <c r="E192" s="14"/>
      <c r="F192" s="14"/>
      <c r="G192" s="14"/>
      <c r="H192" s="287">
        <f>H191/H182</f>
        <v>3.0053354553400212E-2</v>
      </c>
      <c r="I192" s="287">
        <f>I191/I182</f>
        <v>2.9268479803598143E-2</v>
      </c>
      <c r="J192" s="287">
        <f>J191/J182</f>
        <v>2.8109313462818475E-2</v>
      </c>
      <c r="K192" s="97">
        <v>2.8000000000000001E-2</v>
      </c>
      <c r="L192" s="97">
        <v>2.8000000000000001E-2</v>
      </c>
      <c r="M192" s="97">
        <v>2.8000000000000001E-2</v>
      </c>
      <c r="N192" s="97">
        <v>2.8000000000000001E-2</v>
      </c>
      <c r="O192" s="97">
        <v>2.8000000000000001E-2</v>
      </c>
      <c r="P192" s="97">
        <v>2.8000000000000001E-2</v>
      </c>
      <c r="Q192" s="291">
        <v>2.8000000000000001E-2</v>
      </c>
    </row>
  </sheetData>
  <pageMargins left="0.7" right="0.7" top="0.75" bottom="0.75" header="0.3" footer="0.3"/>
  <pageSetup paperSize="9" scale="40" fitToHeight="8" orientation="portrait" horizontalDpi="0" verticalDpi="0"/>
  <rowBreaks count="1" manualBreakCount="1">
    <brk id="96" max="16383" man="1"/>
  </rowBreak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Outputs</vt:lpstr>
      <vt:lpstr>Inputs</vt:lpstr>
      <vt:lpstr>Model</vt:lpstr>
      <vt:lpstr>Supporting schedules &amp; calc</vt:lpstr>
      <vt:lpstr>Inputs!Print_Area</vt:lpstr>
      <vt:lpstr>Model!Print_Area</vt:lpstr>
      <vt:lpstr>'Supporting schedules &amp; calc'!Print_Area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Bruuno Heikkinen</dc:creator>
  <cp:lastModifiedBy>Bruuno Heikkinen</cp:lastModifiedBy>
  <cp:lastPrinted>2026-05-19T19:38:40Z</cp:lastPrinted>
  <dcterms:created xsi:type="dcterms:W3CDTF">2026-04-26T19:51:15Z</dcterms:created>
  <dcterms:modified xsi:type="dcterms:W3CDTF">2026-07-15T11:25:32Z</dcterms:modified>
</cp:coreProperties>
</file>